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Infra by server" sheetId="2" state="visible" r:id="rId4"/>
    <sheet name="Infra errors" sheetId="3" state="visible" r:id="rId5"/>
    <sheet name="Targets" sheetId="4" state="visible" r:id="rId6"/>
    <sheet name="Sticky" sheetId="5" state="visible" r:id="rId7"/>
    <sheet name="TTFB" sheetId="6" state="visible" r:id="rId8"/>
    <sheet name="Performance by GEO" sheetId="7" state="visible" r:id="rId9"/>
    <sheet name="GEO Success pivot" sheetId="8" state="visible" r:id="rId10"/>
    <sheet name="Cost per Successful Request" sheetId="9" state="visible" r:id="rId11"/>
    <sheet name="IP quality" sheetId="10" state="visible" r:id="rId12"/>
    <sheet name="Infra runs" sheetId="11" state="visible" r:id="rId13"/>
    <sheet name="Trend Success by run" sheetId="12" state="visible" r:id="rId14"/>
    <sheet name="Trend Sticky by run" sheetId="13" state="visible" r:id="rId15"/>
    <sheet name="Method and limits"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<sst xmlns="http://schemas.openxmlformats.org/spreadsheetml/2006/main" count="3852" uniqueCount="555">
  <si>
    <t xml:space="preserve">Residential proxy benchmark, 5-8 Oct 2026. Pooled over three test servers (USA, Germany, Singapore). Success rates with 95% Wilson confidence interval. Per-server values in the columns on the right and in the other tabs.</t>
  </si>
  <si>
    <t xml:space="preserve">Provider</t>
  </si>
  <si>
    <t xml:space="preserve">Success Rate</t>
  </si>
  <si>
    <t xml:space="preserve">Response Time / Latency (median, P90, s)</t>
  </si>
  <si>
    <t xml:space="preserve">Error Rate (CAPTCHA / Block Rate)</t>
  </si>
  <si>
    <t xml:space="preserve">Unique IPs</t>
  </si>
  <si>
    <t xml:space="preserve">Duplicate Rate</t>
  </si>
  <si>
    <t xml:space="preserve">Geo Accuracy</t>
  </si>
  <si>
    <t xml:space="preserve">IP Risk / Fraud Score</t>
  </si>
  <si>
    <t xml:space="preserve">Proxy Detection Rate</t>
  </si>
  <si>
    <t xml:space="preserve">Residential / ISP Classification</t>
  </si>
  <si>
    <t xml:space="preserve">Sticky Session Stability</t>
  </si>
  <si>
    <t xml:space="preserve">Target Success Rate</t>
  </si>
  <si>
    <t xml:space="preserve">Cost per Successful Request</t>
  </si>
  <si>
    <t xml:space="preserve">Performance by GEO</t>
  </si>
  <si>
    <t xml:space="preserve">TTFB (median, s) US / DE / SG</t>
  </si>
  <si>
    <t xml:space="preserve">Success Rate US / DE / SG</t>
  </si>
  <si>
    <t xml:space="preserve">Latency median US / DE / SG (s)</t>
  </si>
  <si>
    <t xml:space="preserve">DataImpulse</t>
  </si>
  <si>
    <t xml:space="preserve">99.7% (99.6-99.8)</t>
  </si>
  <si>
    <t xml:space="preserve">0.87 / 2.08</t>
  </si>
  <si>
    <t xml:space="preserve">Infra 0.3%; Amazon captcha 31.6%, challenge 18.6%, blocked 0.0%</t>
  </si>
  <si>
    <t xml:space="preserve">23795 of 25125</t>
  </si>
  <si>
    <t xml:space="preserve">98.8% (98.7-98.9)</t>
  </si>
  <si>
    <t xml:space="preserve">avg 3.3, median 1.0, high risk 0.7% (0.2-2.4)</t>
  </si>
  <si>
    <t xml:space="preserve">87.0% (82.7-90.3)</t>
  </si>
  <si>
    <t xml:space="preserve">98.0% (95.7-99.1)</t>
  </si>
  <si>
    <t xml:space="preserve">87.2% (83.0-90.4) (n=312)</t>
  </si>
  <si>
    <t xml:space="preserve">Wikipedia 99.6% (99.4-99.8); Amazon 47.8% (45.6-50.1)</t>
  </si>
  <si>
    <t xml:space="preserve">TR 98.9%</t>
  </si>
  <si>
    <t xml:space="preserve">0.82 / 0.59 / 1.04</t>
  </si>
  <si>
    <t xml:space="preserve">99.7% / 99.7% / 99.7%</t>
  </si>
  <si>
    <t xml:space="preserve">0.72 / 0.75 / 0.95</t>
  </si>
  <si>
    <t xml:space="preserve">Floppydata</t>
  </si>
  <si>
    <t xml:space="preserve">98.0% (97.8-98.2)</t>
  </si>
  <si>
    <t xml:space="preserve">0.93 / 1.76</t>
  </si>
  <si>
    <t xml:space="preserve">Infra 2.0%; Amazon captcha 31.3%, challenge 17.7%, blocked 0.0%</t>
  </si>
  <si>
    <t xml:space="preserve">21813 of 24703</t>
  </si>
  <si>
    <t xml:space="preserve">99.8% (99.7-99.8)</t>
  </si>
  <si>
    <t xml:space="preserve">avg 3.0, median 1.0, high risk 0.3% (0.1-1.9)</t>
  </si>
  <si>
    <t xml:space="preserve">60.7% (55.0-66.0)</t>
  </si>
  <si>
    <t xml:space="preserve">99.0% (97.1-99.7)</t>
  </si>
  <si>
    <t xml:space="preserve">47.3% (41.4-53.4) (n=264)</t>
  </si>
  <si>
    <t xml:space="preserve">Wikipedia 98.6% (98.2-98.8); Amazon 49.4% (47.2-51.7)</t>
  </si>
  <si>
    <t xml:space="preserve">IN 90.0%</t>
  </si>
  <si>
    <t xml:space="preserve">1.36 / 0.81 / 0.77</t>
  </si>
  <si>
    <t xml:space="preserve">97.8% / 97.7% / 98.6%</t>
  </si>
  <si>
    <t xml:space="preserve">1.21 / 0.78 / 0.73</t>
  </si>
  <si>
    <t xml:space="preserve">Oxylabs</t>
  </si>
  <si>
    <t xml:space="preserve">99.9% (99.9-99.9)</t>
  </si>
  <si>
    <t xml:space="preserve">0.75 / 1.32</t>
  </si>
  <si>
    <t xml:space="preserve">Infra 0.1%; Amazon captcha 34.2%, challenge 10.3%, blocked 0.0%</t>
  </si>
  <si>
    <t xml:space="preserve">24628 of 25180</t>
  </si>
  <si>
    <t xml:space="preserve">99.9% (99.8-99.9)</t>
  </si>
  <si>
    <t xml:space="preserve">avg 4.6, median 1.0, high risk 1.3% (0.5-3.4)</t>
  </si>
  <si>
    <t xml:space="preserve">80.3% (75.5-84.4)</t>
  </si>
  <si>
    <t xml:space="preserve">99.3% (97.6-99.8)</t>
  </si>
  <si>
    <t xml:space="preserve">80.8% (76.0-84.8) (n=312)</t>
  </si>
  <si>
    <t xml:space="preserve">Wikipedia 99.8% (99.6-99.9); Amazon 55.3% (53.1-57.6)</t>
  </si>
  <si>
    <t xml:space="preserve">IN 99.7%</t>
  </si>
  <si>
    <t xml:space="preserve">0.77 / 0.56 / 0.85</t>
  </si>
  <si>
    <t xml:space="preserve">99.9% / 100.0% / 99.9%</t>
  </si>
  <si>
    <t xml:space="preserve">0.76 / 0.56 / 0.80</t>
  </si>
  <si>
    <t xml:space="preserve">Rayobyte</t>
  </si>
  <si>
    <t xml:space="preserve">1.45 / 3.00</t>
  </si>
  <si>
    <t xml:space="preserve">Infra 0.3%; Amazon captcha 32.4%, challenge 16.1%, blocked 0.0%</t>
  </si>
  <si>
    <t xml:space="preserve">19470 of 25126</t>
  </si>
  <si>
    <t xml:space="preserve">98.9% (98.7-99.0)</t>
  </si>
  <si>
    <t xml:space="preserve">avg 4.4, median 1.0, high risk 1.3% (0.5-3.4)</t>
  </si>
  <si>
    <t xml:space="preserve">59.3% (53.7-64.7)</t>
  </si>
  <si>
    <t xml:space="preserve">95.0% (91.9-96.9)</t>
  </si>
  <si>
    <t xml:space="preserve">70.2% (64.9-75.0) (n=312)</t>
  </si>
  <si>
    <t xml:space="preserve">Wikipedia 99.6% (99.4-99.7); Amazon 51.1% (48.9-53.4)</t>
  </si>
  <si>
    <t xml:space="preserve">UA 99.1%</t>
  </si>
  <si>
    <t xml:space="preserve">0.96 / 1.21 / 1.85</t>
  </si>
  <si>
    <t xml:space="preserve">99.9% / 99.7% / 99.6%</t>
  </si>
  <si>
    <t xml:space="preserve">0.81 / 1.29 / 1.80</t>
  </si>
  <si>
    <t xml:space="preserve">Webshare</t>
  </si>
  <si>
    <t xml:space="preserve">99.6% (99.5-99.6)</t>
  </si>
  <si>
    <t xml:space="preserve">1.00 / 1.81</t>
  </si>
  <si>
    <t xml:space="preserve">Infra 0.4%; Amazon captcha 33.3%, challenge 11.5%, blocked 0.0%</t>
  </si>
  <si>
    <t xml:space="preserve">24545 of 25091</t>
  </si>
  <si>
    <t xml:space="preserve">99.8% (99.8-99.9)</t>
  </si>
  <si>
    <t xml:space="preserve">avg 3.6, median 1.0, high risk 0.0% (0.0-1.3)</t>
  </si>
  <si>
    <t xml:space="preserve">83.3% (78.7-87.1)</t>
  </si>
  <si>
    <t xml:space="preserve">77.2% (72.3-81.5) (n=312)</t>
  </si>
  <si>
    <t xml:space="preserve">Wikipedia 99.4% (99.2-99.6); Amazon 54.6% (52.4-56.8)</t>
  </si>
  <si>
    <t xml:space="preserve">PL 99.0%</t>
  </si>
  <si>
    <t xml:space="preserve">1.04 / 0.66 / 1.29</t>
  </si>
  <si>
    <t xml:space="preserve">99.9% / 99.7% / 99.2%</t>
  </si>
  <si>
    <t xml:space="preserve">0.90 / 0.71 / 1.33</t>
  </si>
  <si>
    <t xml:space="preserve">ProxyEmpire</t>
  </si>
  <si>
    <t xml:space="preserve">0.83 / 1.83</t>
  </si>
  <si>
    <t xml:space="preserve">Infra 0.4%; Amazon captcha 32.3%, challenge 17.4%, blocked 0.0%</t>
  </si>
  <si>
    <t xml:space="preserve">23738 of 25092</t>
  </si>
  <si>
    <t xml:space="preserve">avg 3.7, median 1.0, high risk 0.3% (0.1-1.9)</t>
  </si>
  <si>
    <t xml:space="preserve">61.2% (55.7-66.5) (n=312)</t>
  </si>
  <si>
    <t xml:space="preserve">Wikipedia 99.4% (99.2-99.6); Amazon 49.7% (47.4-51.9)</t>
  </si>
  <si>
    <t xml:space="preserve">TR 97.7%</t>
  </si>
  <si>
    <t xml:space="preserve">0.78 / 0.57 / 1.40</t>
  </si>
  <si>
    <t xml:space="preserve">99.5% / 99.5% / 99.7%</t>
  </si>
  <si>
    <t xml:space="preserve">0.73 / 0.64 / 1.18</t>
  </si>
  <si>
    <t xml:space="preserve">SOAX</t>
  </si>
  <si>
    <t xml:space="preserve">99.8% (99.7-99.9)</t>
  </si>
  <si>
    <t xml:space="preserve">0.72 / 1.37</t>
  </si>
  <si>
    <t xml:space="preserve">Infra 0.2%; Amazon captcha 31.6%, challenge 17.5%, blocked 0.0%</t>
  </si>
  <si>
    <t xml:space="preserve">22866 of 25152</t>
  </si>
  <si>
    <t xml:space="preserve">99.3% (99.2-99.4)</t>
  </si>
  <si>
    <t xml:space="preserve">avg 3.3, median 1.0, high risk 0.3% (0.1-1.9)</t>
  </si>
  <si>
    <t xml:space="preserve">85.3% (80.9-88.9)</t>
  </si>
  <si>
    <t xml:space="preserve">Wikipedia 99.6% (99.4-99.8); Amazon 49.5% (47.2-51.7)</t>
  </si>
  <si>
    <t xml:space="preserve">UA 99.5%</t>
  </si>
  <si>
    <t xml:space="preserve">0.79 / 0.50 / 0.85</t>
  </si>
  <si>
    <t xml:space="preserve">99.8% / 99.8% / 99.8%</t>
  </si>
  <si>
    <t xml:space="preserve">0.64 / 0.56 / 0.80</t>
  </si>
  <si>
    <t xml:space="preserve">NodeMaven</t>
  </si>
  <si>
    <t xml:space="preserve">99.6% (99.5-99.7)</t>
  </si>
  <si>
    <t xml:space="preserve">0.91 / 1.71</t>
  </si>
  <si>
    <t xml:space="preserve">Infra 0.4%; Amazon captcha 32.6%, challenge 16.6%, blocked 0.0%</t>
  </si>
  <si>
    <t xml:space="preserve">23411 of 25098</t>
  </si>
  <si>
    <t xml:space="preserve">avg 2.3, median 1.0, high risk 0.0% (0.0-1.3)</t>
  </si>
  <si>
    <t xml:space="preserve">77.7% (72.6-82.0)</t>
  </si>
  <si>
    <t xml:space="preserve">99.7% (98.1-99.9)</t>
  </si>
  <si>
    <t xml:space="preserve">79.2% (74.3-83.3) (n=312)</t>
  </si>
  <si>
    <t xml:space="preserve">Wikipedia 99.2% (98.9-99.4); Amazon 50.2% (47.9-52.4)</t>
  </si>
  <si>
    <t xml:space="preserve">US 98.9%</t>
  </si>
  <si>
    <t xml:space="preserve">0.99 / 0.54 / 0.97</t>
  </si>
  <si>
    <t xml:space="preserve">99.6% / 99.5% / 99.7%</t>
  </si>
  <si>
    <t xml:space="preserve">1.00 / 0.64 / 1.13</t>
  </si>
  <si>
    <t xml:space="preserve">Decodo</t>
  </si>
  <si>
    <t xml:space="preserve">99.9% (99.9-100.0)</t>
  </si>
  <si>
    <t xml:space="preserve">0.79 / 1.41</t>
  </si>
  <si>
    <t xml:space="preserve">Infra 0.1%; Amazon captcha 35.3%, challenge 10.2%, blocked 0.0%</t>
  </si>
  <si>
    <t xml:space="preserve">24618 of 25184</t>
  </si>
  <si>
    <t xml:space="preserve">85.0% (80.5-88.6)</t>
  </si>
  <si>
    <t xml:space="preserve">82.7% (78.1-86.5) (n=312)</t>
  </si>
  <si>
    <t xml:space="preserve">Wikipedia 99.9% (99.7-99.9); Amazon 54.4% (52.1-56.6)</t>
  </si>
  <si>
    <t xml:space="preserve">IN 99.8%</t>
  </si>
  <si>
    <t xml:space="preserve">0.92 / 0.44 / 0.82</t>
  </si>
  <si>
    <t xml:space="preserve">100.0% / 99.9% / 99.9%</t>
  </si>
  <si>
    <t xml:space="preserve">0.94 / 0.54 / 0.80</t>
  </si>
  <si>
    <t xml:space="preserve">Evomi</t>
  </si>
  <si>
    <t xml:space="preserve">0.68 / 1.44</t>
  </si>
  <si>
    <t xml:space="preserve">Infra 0.1%; Amazon captcha 32.2%, challenge 18.3%, blocked 0.0%</t>
  </si>
  <si>
    <t xml:space="preserve">23867 of 25163</t>
  </si>
  <si>
    <t xml:space="preserve">96.0% (93.1-97.7)</t>
  </si>
  <si>
    <t xml:space="preserve">80.4% (75.7-84.5) (n=312)</t>
  </si>
  <si>
    <t xml:space="preserve">Wikipedia 99.7% (99.6-99.8); Amazon 49.4% (47.1-51.6)</t>
  </si>
  <si>
    <t xml:space="preserve">VN 99.6%</t>
  </si>
  <si>
    <t xml:space="preserve">0.40 / 0.33 / 0.93</t>
  </si>
  <si>
    <t xml:space="preserve">99.8% / 99.8% / 99.9%</t>
  </si>
  <si>
    <t xml:space="preserve">0.41 / 0.38 / 0.97</t>
  </si>
  <si>
    <t xml:space="preserve">Geonode</t>
  </si>
  <si>
    <t xml:space="preserve">97.1% (96.8-97.3)</t>
  </si>
  <si>
    <t xml:space="preserve">1.09 / 3.67</t>
  </si>
  <si>
    <t xml:space="preserve">Infra 2.9%; Amazon captcha 32.9%, challenge 15.3%, blocked 0.0%</t>
  </si>
  <si>
    <t xml:space="preserve">22836 of 24459</t>
  </si>
  <si>
    <t xml:space="preserve">100.0% (98.7-100.0)</t>
  </si>
  <si>
    <t xml:space="preserve">Wikipedia 97.9% (97.5-98.3); Amazon 49.3% (47.1-51.6)</t>
  </si>
  <si>
    <t xml:space="preserve">IN 94.6%</t>
  </si>
  <si>
    <t xml:space="preserve">1.72 / 2.22 / 1.90</t>
  </si>
  <si>
    <t xml:space="preserve">96.9% / 97.4% / 96.9%</t>
  </si>
  <si>
    <t xml:space="preserve">1.09 / 0.81 / 1.37</t>
  </si>
  <si>
    <t xml:space="preserve">IPRoyal</t>
  </si>
  <si>
    <t xml:space="preserve">99.5% (99.4-99.5)</t>
  </si>
  <si>
    <t xml:space="preserve">1.23 / 3.14</t>
  </si>
  <si>
    <t xml:space="preserve">Infra 0.5%; Amazon captcha 32.2%, challenge 16.8%, blocked 0.0%</t>
  </si>
  <si>
    <t xml:space="preserve">23316 of 25063</t>
  </si>
  <si>
    <t xml:space="preserve">avg 4.5, median 1.0, high risk 1.0% (0.3-2.9)</t>
  </si>
  <si>
    <t xml:space="preserve">Wikipedia 99.6% (99.3-99.7); Amazon 50.1% (47.9-52.4)</t>
  </si>
  <si>
    <t xml:space="preserve">1.05 / 1.00 / 1.62</t>
  </si>
  <si>
    <t xml:space="preserve">99.1% / 99.6% / 99.6%</t>
  </si>
  <si>
    <t xml:space="preserve">1.21 / 0.92 / 1.38</t>
  </si>
  <si>
    <t xml:space="preserve">Test 1 (Infra): https://www.cloudflare.com/cdn-cgi/trace, new IP on every request. Latency = full request time, successful requests only.</t>
  </si>
  <si>
    <t xml:space="preserve">Server</t>
  </si>
  <si>
    <t xml:space="preserve">Requests</t>
  </si>
  <si>
    <t xml:space="preserve">Successful</t>
  </si>
  <si>
    <t xml:space="preserve">CI low</t>
  </si>
  <si>
    <t xml:space="preserve">CI high</t>
  </si>
  <si>
    <t xml:space="preserve">Latency median, s</t>
  </si>
  <si>
    <t xml:space="preserve">Latency P90, s</t>
  </si>
  <si>
    <t xml:space="preserve">USA (Ashburn)</t>
  </si>
  <si>
    <t xml:space="preserve">Germany</t>
  </si>
  <si>
    <t xml:space="preserve">Singapore</t>
  </si>
  <si>
    <t xml:space="preserve">All servers</t>
  </si>
  <si>
    <t xml:space="preserve">Error type</t>
  </si>
  <si>
    <t xml:space="preserve">Count</t>
  </si>
  <si>
    <t xml:space="preserve">Share of all requests</t>
  </si>
  <si>
    <t xml:space="preserve">timeout</t>
  </si>
  <si>
    <t xml:space="preserve">ssl_error</t>
  </si>
  <si>
    <t xml:space="preserve">other: Remote end closed connection without response</t>
  </si>
  <si>
    <t xml:space="preserve">tunnel_failed_502</t>
  </si>
  <si>
    <t xml:space="preserve">tunnel_failed_522</t>
  </si>
  <si>
    <t xml:space="preserve">tunnel_failed_503</t>
  </si>
  <si>
    <t xml:space="preserve">tunnel_failed_417</t>
  </si>
  <si>
    <t xml:space="preserve">tunnel_failed_424</t>
  </si>
  <si>
    <t xml:space="preserve">tunnel_failed_500</t>
  </si>
  <si>
    <t xml:space="preserve">tunnel_failed_464</t>
  </si>
  <si>
    <t xml:space="preserve">other: &lt;urlopen error Remote end closed connection without response</t>
  </si>
  <si>
    <t xml:space="preserve">tunnel_failed_504</t>
  </si>
  <si>
    <t xml:space="preserve">proxy_auth_407</t>
  </si>
  <si>
    <t xml:space="preserve">conn_reset</t>
  </si>
  <si>
    <t xml:space="preserve">http_502</t>
  </si>
  <si>
    <t xml:space="preserve">tunnel_failed_403</t>
  </si>
  <si>
    <t xml:space="preserve">Test 2: Wikipedia (control) and Amazon search. Plain HTTP client with a Chrome TLS fingerprint, no JavaScript execution.</t>
  </si>
  <si>
    <t xml:space="preserve">Target</t>
  </si>
  <si>
    <t xml:space="preserve">Success</t>
  </si>
  <si>
    <t xml:space="preserve">Captcha</t>
  </si>
  <si>
    <t xml:space="preserve">JS challenge</t>
  </si>
  <si>
    <t xml:space="preserve">Blocked 403/429/503</t>
  </si>
  <si>
    <t xml:space="preserve">Other errors</t>
  </si>
  <si>
    <t xml:space="preserve">Avg response, KB</t>
  </si>
  <si>
    <t xml:space="preserve">wikipedia</t>
  </si>
  <si>
    <t xml:space="preserve">amazon</t>
  </si>
  <si>
    <t xml:space="preserve">Test 3: 8 sessions per run, 30-minute sessions, one request every 30 s; evaluated in the first 25 minutes. Floppydata: only sessions with the format from its official documentation (from 6 Oct 09:30 UTC).</t>
  </si>
  <si>
    <t xml:space="preserve">Sessions</t>
  </si>
  <si>
    <t xml:space="preserve">Stable sessions</t>
  </si>
  <si>
    <t xml:space="preserve">Median IP hold, min</t>
  </si>
  <si>
    <t xml:space="preserve">Request IP consistency</t>
  </si>
  <si>
    <t xml:space="preserve">Error Rate</t>
  </si>
  <si>
    <t xml:space="preserve">Separate test on 7 Oct (curl timings): 10 requests per provider and country per server, same Cloudflare target.</t>
  </si>
  <si>
    <t xml:space="preserve">TCP to proxy, s</t>
  </si>
  <si>
    <t xml:space="preserve">Tunnel + TLS, s</t>
  </si>
  <si>
    <t xml:space="preserve">Wait for first byte, s</t>
  </si>
  <si>
    <t xml:space="preserve">TTFB median, s</t>
  </si>
  <si>
    <t xml:space="preserve">TTFB P90, s</t>
  </si>
  <si>
    <t xml:space="preserve">Total time median, s</t>
  </si>
  <si>
    <t xml:space="preserve">Country</t>
  </si>
  <si>
    <t xml:space="preserve">US</t>
  </si>
  <si>
    <t xml:space="preserve">DE</t>
  </si>
  <si>
    <t xml:space="preserve">GB</t>
  </si>
  <si>
    <t xml:space="preserve">FR</t>
  </si>
  <si>
    <t xml:space="preserve">ES</t>
  </si>
  <si>
    <t xml:space="preserve">BR</t>
  </si>
  <si>
    <t xml:space="preserve">IN</t>
  </si>
  <si>
    <t xml:space="preserve">PL</t>
  </si>
  <si>
    <t xml:space="preserve">UA</t>
  </si>
  <si>
    <t xml:space="preserve">TR</t>
  </si>
  <si>
    <t xml:space="preserve">VN</t>
  </si>
  <si>
    <t xml:space="preserve">ID</t>
  </si>
  <si>
    <t xml:space="preserve">Success Rate by requested country, pooled over three servers.</t>
  </si>
  <si>
    <t xml:space="preserve">MEASURED (columns Q-S): price per GB x traffic used per provider panel / successful requests (Infra + Sticky checks + Targets + TTFB) x 1000. Estimated split by test (columns G, L, P) uses modelled bytes per request, calibrated on the same counters. 1 GB = 1000 MB assumed. Counters read 8 Oct 16:50 Madrid; zero traffic before the test assumed (the Floppydata panel shows none).</t>
  </si>
  <si>
    <t xml:space="preserve">Assumptions (edit after calibration with the provider panel counters):</t>
  </si>
  <si>
    <t xml:space="preserve">Infra overhead, bytes</t>
  </si>
  <si>
    <t xml:space="preserve">Target overhead, bytes</t>
  </si>
  <si>
    <t xml:space="preserve">Target wire/logged size</t>
  </si>
  <si>
    <t xml:space="preserve">Price, $/GB</t>
  </si>
  <si>
    <t xml:space="preserve">Package / tariff</t>
  </si>
  <si>
    <t xml:space="preserve">Infra: requests</t>
  </si>
  <si>
    <t xml:space="preserve">Infra: successful</t>
  </si>
  <si>
    <t xml:space="preserve">Infra: avg logged bytes</t>
  </si>
  <si>
    <t xml:space="preserve">Infra: cost per 1000 successful, $</t>
  </si>
  <si>
    <t xml:space="preserve">Text for the Summary tab (estimate)</t>
  </si>
  <si>
    <t xml:space="preserve">Wikipedia: requests</t>
  </si>
  <si>
    <t xml:space="preserve">Wikipedia: successful</t>
  </si>
  <si>
    <t xml:space="preserve">Wikipedia: avg logged bytes</t>
  </si>
  <si>
    <t xml:space="preserve">Wikipedia: cost per 1000 successful, $</t>
  </si>
  <si>
    <t xml:space="preserve">Amazon: requests</t>
  </si>
  <si>
    <t xml:space="preserve">Amazon: successful</t>
  </si>
  <si>
    <t xml:space="preserve">Amazon: avg logged bytes</t>
  </si>
  <si>
    <t xml:space="preserve">Amazon: cost per 1000 successful, $</t>
  </si>
  <si>
    <t xml:space="preserve">Panel traffic used, MB (counter)</t>
  </si>
  <si>
    <t xml:space="preserve">Successful requests, all tests (up to counter time)</t>
  </si>
  <si>
    <t xml:space="preserve">MEASURED cost per 1000 successful, $ (all tests)</t>
  </si>
  <si>
    <t xml:space="preserve">50 GB</t>
  </si>
  <si>
    <t xml:space="preserve">50 GB, 30 days</t>
  </si>
  <si>
    <t xml:space="preserve">5 GB</t>
  </si>
  <si>
    <t xml:space="preserve">2 GB</t>
  </si>
  <si>
    <t xml:space="preserve">3 GB</t>
  </si>
  <si>
    <t xml:space="preserve">2 x 1 GB, $7.00 ex-tax, 8.47 incl. tax</t>
  </si>
  <si>
    <t xml:space="preserve">effective price, 1 credit = $1</t>
  </si>
  <si>
    <t xml:space="preserve">Core tariff, EUR 0.93 ex-VAT</t>
  </si>
  <si>
    <t xml:space="preserve">10 GB, subscription</t>
  </si>
  <si>
    <t xml:space="preserve">2 GB, may include tax</t>
  </si>
  <si>
    <t xml:space="preserve">Scamalytics (score, datacenter/VPN/residential-proxy flags) and IPinfo Lite (ASN, country). Random sample of unique IPs per provider.</t>
  </si>
  <si>
    <t xml:space="preserve">IPs checked</t>
  </si>
  <si>
    <t xml:space="preserve">Fraud Score avg (0-100)</t>
  </si>
  <si>
    <t xml:space="preserve">Fraud Score median</t>
  </si>
  <si>
    <t xml:space="preserve">High risk share</t>
  </si>
  <si>
    <t xml:space="preserve">Datacenter</t>
  </si>
  <si>
    <t xml:space="preserve">VPN</t>
  </si>
  <si>
    <t xml:space="preserve">Residential / ISP (ASN heuristic)</t>
  </si>
  <si>
    <t xml:space="preserve">Geo accuracy (IPinfo)</t>
  </si>
  <si>
    <t xml:space="preserve">One row per provider, server and scheduled run: shows whether results are stable during the test.</t>
  </si>
  <si>
    <t xml:space="preserve">Run</t>
  </si>
  <si>
    <t xml:space="preserve">Started (UTC)</t>
  </si>
  <si>
    <t xml:space="preserve">20261005-2000</t>
  </si>
  <si>
    <t xml:space="preserve">2026-10-05 20:05:16</t>
  </si>
  <si>
    <t xml:space="preserve">20261006-0800</t>
  </si>
  <si>
    <t xml:space="preserve">2026-10-06 08:04:49</t>
  </si>
  <si>
    <t xml:space="preserve">20261006-2000</t>
  </si>
  <si>
    <t xml:space="preserve">2026-10-06 20:02:03</t>
  </si>
  <si>
    <t xml:space="preserve">20261007-0800</t>
  </si>
  <si>
    <t xml:space="preserve">2026-10-07 08:02:54</t>
  </si>
  <si>
    <t xml:space="preserve">20261007-2000</t>
  </si>
  <si>
    <t xml:space="preserve">2026-10-07 20:01:18</t>
  </si>
  <si>
    <t xml:space="preserve">20261008-0800</t>
  </si>
  <si>
    <t xml:space="preserve">2026-10-08 08:00:01</t>
  </si>
  <si>
    <t xml:space="preserve">20261008-2000</t>
  </si>
  <si>
    <t xml:space="preserve">2026-10-08 20:03:37</t>
  </si>
  <si>
    <t xml:space="preserve">2026-10-05 20:02:17</t>
  </si>
  <si>
    <t xml:space="preserve">2026-10-06 08:00:01</t>
  </si>
  <si>
    <t xml:space="preserve">2026-10-06 20:04:57</t>
  </si>
  <si>
    <t xml:space="preserve">2026-10-07 08:00:54</t>
  </si>
  <si>
    <t xml:space="preserve">2026-10-07 20:03:07</t>
  </si>
  <si>
    <t xml:space="preserve">2026-10-08 08:01:21</t>
  </si>
  <si>
    <t xml:space="preserve">2026-10-08 20:03:56</t>
  </si>
  <si>
    <t xml:space="preserve">2026-10-05 20:00:01</t>
  </si>
  <si>
    <t xml:space="preserve">2026-10-06 08:00:58</t>
  </si>
  <si>
    <t xml:space="preserve">2026-10-06 20:04:20</t>
  </si>
  <si>
    <t xml:space="preserve">2026-10-07 08:00:22</t>
  </si>
  <si>
    <t xml:space="preserve">2026-10-07 20:00:12</t>
  </si>
  <si>
    <t xml:space="preserve">2026-10-08 08:02:11</t>
  </si>
  <si>
    <t xml:space="preserve">2026-10-08 20:03:20</t>
  </si>
  <si>
    <t xml:space="preserve">2026-10-05 20:01:16</t>
  </si>
  <si>
    <t xml:space="preserve">2026-10-06 08:03:26</t>
  </si>
  <si>
    <t xml:space="preserve">2026-10-06 20:05:23</t>
  </si>
  <si>
    <t xml:space="preserve">2026-10-07 08:01:21</t>
  </si>
  <si>
    <t xml:space="preserve">2026-10-07 20:02:48</t>
  </si>
  <si>
    <t xml:space="preserve">2026-10-08 08:03:29</t>
  </si>
  <si>
    <t xml:space="preserve">2026-10-08 20:08:08</t>
  </si>
  <si>
    <t xml:space="preserve">2026-10-05 20:05:03</t>
  </si>
  <si>
    <t xml:space="preserve">2026-10-06 08:05:13</t>
  </si>
  <si>
    <t xml:space="preserve">2026-10-06 20:02:39</t>
  </si>
  <si>
    <t xml:space="preserve">2026-10-07 08:03:21</t>
  </si>
  <si>
    <t xml:space="preserve">2026-10-07 20:05:56</t>
  </si>
  <si>
    <t xml:space="preserve">2026-10-08 08:04:21</t>
  </si>
  <si>
    <t xml:space="preserve">2026-10-08 20:00:01</t>
  </si>
  <si>
    <t xml:space="preserve">2026-10-05 20:00:11</t>
  </si>
  <si>
    <t xml:space="preserve">2026-10-06 08:03:04</t>
  </si>
  <si>
    <t xml:space="preserve">2026-10-06 20:00:39</t>
  </si>
  <si>
    <t xml:space="preserve">2026-10-07 08:02:28</t>
  </si>
  <si>
    <t xml:space="preserve">2026-10-07 20:04:30</t>
  </si>
  <si>
    <t xml:space="preserve">2026-10-08 08:00:48</t>
  </si>
  <si>
    <t xml:space="preserve">2026-10-08 20:04:40</t>
  </si>
  <si>
    <t xml:space="preserve">2026-10-06 08:00:02</t>
  </si>
  <si>
    <t xml:space="preserve">2026-10-06 20:04:42</t>
  </si>
  <si>
    <t xml:space="preserve">2026-10-07 08:00:36</t>
  </si>
  <si>
    <t xml:space="preserve">2026-10-07 20:03:38</t>
  </si>
  <si>
    <t xml:space="preserve">2026-10-08 08:01:50</t>
  </si>
  <si>
    <t xml:space="preserve">2026-10-08 20:02:54</t>
  </si>
  <si>
    <t xml:space="preserve">2026-10-05 20:06:00</t>
  </si>
  <si>
    <t xml:space="preserve">2026-10-06 08:03:48</t>
  </si>
  <si>
    <t xml:space="preserve">2026-10-06 20:00:01</t>
  </si>
  <si>
    <t xml:space="preserve">2026-10-07 08:02:31</t>
  </si>
  <si>
    <t xml:space="preserve">2026-10-07 20:00:01</t>
  </si>
  <si>
    <t xml:space="preserve">2026-10-08 08:07:02</t>
  </si>
  <si>
    <t xml:space="preserve">2026-10-08 20:06:37</t>
  </si>
  <si>
    <t xml:space="preserve">2026-10-05 20:02:41</t>
  </si>
  <si>
    <t xml:space="preserve">2026-10-06 08:01:34</t>
  </si>
  <si>
    <t xml:space="preserve">2026-10-06 20:03:51</t>
  </si>
  <si>
    <t xml:space="preserve">2026-10-07 08:02:11</t>
  </si>
  <si>
    <t xml:space="preserve">2026-10-07 20:01:31</t>
  </si>
  <si>
    <t xml:space="preserve">2026-10-08 08:03:40</t>
  </si>
  <si>
    <t xml:space="preserve">2026-10-08 20:04:07</t>
  </si>
  <si>
    <t xml:space="preserve">2026-10-05 20:00:12</t>
  </si>
  <si>
    <t xml:space="preserve">2026-10-06 08:00:30</t>
  </si>
  <si>
    <t xml:space="preserve">2026-10-06 20:03:32</t>
  </si>
  <si>
    <t xml:space="preserve">2026-10-07 08:02:06</t>
  </si>
  <si>
    <t xml:space="preserve">2026-10-07 20:02:31</t>
  </si>
  <si>
    <t xml:space="preserve">2026-10-08 08:01:59</t>
  </si>
  <si>
    <t xml:space="preserve">2026-10-08 20:07:00</t>
  </si>
  <si>
    <t xml:space="preserve">2026-10-05 20:00:46</t>
  </si>
  <si>
    <t xml:space="preserve">2026-10-06 08:02:29</t>
  </si>
  <si>
    <t xml:space="preserve">2026-10-06 20:04:11</t>
  </si>
  <si>
    <t xml:space="preserve">2026-10-07 08:02:55</t>
  </si>
  <si>
    <t xml:space="preserve">2026-10-07 20:01:01</t>
  </si>
  <si>
    <t xml:space="preserve">2026-10-08 08:01:57</t>
  </si>
  <si>
    <t xml:space="preserve">2026-10-08 20:00:24</t>
  </si>
  <si>
    <t xml:space="preserve">2026-10-05 20:02:49</t>
  </si>
  <si>
    <t xml:space="preserve">2026-10-06 08:00:14</t>
  </si>
  <si>
    <t xml:space="preserve">2026-10-06 20:02:18</t>
  </si>
  <si>
    <t xml:space="preserve">2026-10-07 08:00:32</t>
  </si>
  <si>
    <t xml:space="preserve">2026-10-07 20:01:10</t>
  </si>
  <si>
    <t xml:space="preserve">2026-10-08 08:01:05</t>
  </si>
  <si>
    <t xml:space="preserve">2026-10-08 20:00:44</t>
  </si>
  <si>
    <t xml:space="preserve">2026-10-05 20:02:47</t>
  </si>
  <si>
    <t xml:space="preserve">2026-10-06 08:01:45</t>
  </si>
  <si>
    <t xml:space="preserve">2026-10-07 08:03:47</t>
  </si>
  <si>
    <t xml:space="preserve">2026-10-07 20:03:49</t>
  </si>
  <si>
    <t xml:space="preserve">2026-10-08 08:02:47</t>
  </si>
  <si>
    <t xml:space="preserve">2026-10-08 20:02:06</t>
  </si>
  <si>
    <t xml:space="preserve">2026-10-06 08:01:35</t>
  </si>
  <si>
    <t xml:space="preserve">2026-10-06 20:02:01</t>
  </si>
  <si>
    <t xml:space="preserve">2026-10-07 08:03:44</t>
  </si>
  <si>
    <t xml:space="preserve">2026-10-07 20:02:36</t>
  </si>
  <si>
    <t xml:space="preserve">2026-10-08 08:06:20</t>
  </si>
  <si>
    <t xml:space="preserve">2026-10-08 20:03:21</t>
  </si>
  <si>
    <t xml:space="preserve">2026-10-05 20:00:37</t>
  </si>
  <si>
    <t xml:space="preserve">2026-10-06 08:01:51</t>
  </si>
  <si>
    <t xml:space="preserve">2026-10-06 20:00:51</t>
  </si>
  <si>
    <t xml:space="preserve">2026-10-07 08:03:03</t>
  </si>
  <si>
    <t xml:space="preserve">2026-10-07 20:02:43</t>
  </si>
  <si>
    <t xml:space="preserve">2026-10-08 08:01:34</t>
  </si>
  <si>
    <t xml:space="preserve">2026-10-08 20:00:20</t>
  </si>
  <si>
    <t xml:space="preserve">2026-10-05 20:01:38</t>
  </si>
  <si>
    <t xml:space="preserve">2026-10-06 08:03:43</t>
  </si>
  <si>
    <t xml:space="preserve">2026-10-06 20:02:26</t>
  </si>
  <si>
    <t xml:space="preserve">2026-10-07 08:02:27</t>
  </si>
  <si>
    <t xml:space="preserve">2026-10-07 20:01:39</t>
  </si>
  <si>
    <t xml:space="preserve">2026-10-08 08:01:19</t>
  </si>
  <si>
    <t xml:space="preserve">2026-10-08 20:01:12</t>
  </si>
  <si>
    <t xml:space="preserve">2026-10-05 20:04:05</t>
  </si>
  <si>
    <t xml:space="preserve">2026-10-06 08:05:37</t>
  </si>
  <si>
    <t xml:space="preserve">2026-10-06 20:01:25</t>
  </si>
  <si>
    <t xml:space="preserve">2026-10-07 08:05:37</t>
  </si>
  <si>
    <t xml:space="preserve">2026-10-07 20:01:58</t>
  </si>
  <si>
    <t xml:space="preserve">2026-10-08 20:05:59</t>
  </si>
  <si>
    <t xml:space="preserve">2026-10-05 20:01:54</t>
  </si>
  <si>
    <t xml:space="preserve">2026-10-06 08:04:08</t>
  </si>
  <si>
    <t xml:space="preserve">2026-10-06 20:03:57</t>
  </si>
  <si>
    <t xml:space="preserve">2026-10-07 08:03:56</t>
  </si>
  <si>
    <t xml:space="preserve">2026-10-07 20:00:26</t>
  </si>
  <si>
    <t xml:space="preserve">2026-10-08 08:02:38</t>
  </si>
  <si>
    <t xml:space="preserve">2026-10-08 20:02:59</t>
  </si>
  <si>
    <t xml:space="preserve">2026-10-05 20:03:23</t>
  </si>
  <si>
    <t xml:space="preserve">2026-10-06 08:02:42</t>
  </si>
  <si>
    <t xml:space="preserve">2026-10-06 20:02:50</t>
  </si>
  <si>
    <t xml:space="preserve">2026-10-07 08:00:46</t>
  </si>
  <si>
    <t xml:space="preserve">2026-10-07 20:04:45</t>
  </si>
  <si>
    <t xml:space="preserve">2026-10-08 08:00:22</t>
  </si>
  <si>
    <t xml:space="preserve">2026-10-08 20:07:36</t>
  </si>
  <si>
    <t xml:space="preserve">2026-10-05 20:01:25</t>
  </si>
  <si>
    <t xml:space="preserve">2026-10-06 08:00:25</t>
  </si>
  <si>
    <t xml:space="preserve">2026-10-06 20:03:02</t>
  </si>
  <si>
    <t xml:space="preserve">2026-10-07 08:04:46</t>
  </si>
  <si>
    <t xml:space="preserve">2026-10-08 20:02:23</t>
  </si>
  <si>
    <t xml:space="preserve">2026-10-05 20:01:36</t>
  </si>
  <si>
    <t xml:space="preserve">2026-10-06 08:03:25</t>
  </si>
  <si>
    <t xml:space="preserve">2026-10-07 08:01:03</t>
  </si>
  <si>
    <t xml:space="preserve">2026-10-07 20:03:46</t>
  </si>
  <si>
    <t xml:space="preserve">2026-10-08 08:03:05</t>
  </si>
  <si>
    <t xml:space="preserve">2026-10-08 20:02:08</t>
  </si>
  <si>
    <t xml:space="preserve">2026-10-05 20:04:40</t>
  </si>
  <si>
    <t xml:space="preserve">2026-10-06 08:05:05</t>
  </si>
  <si>
    <t xml:space="preserve">2026-10-06 20:00:46</t>
  </si>
  <si>
    <t xml:space="preserve">2026-10-07 08:03:12</t>
  </si>
  <si>
    <t xml:space="preserve">2026-10-08 08:03:45</t>
  </si>
  <si>
    <t xml:space="preserve">2026-10-08 20:05:56</t>
  </si>
  <si>
    <t xml:space="preserve">2026-10-05 20:03:40</t>
  </si>
  <si>
    <t xml:space="preserve">2026-10-06 08:03:20</t>
  </si>
  <si>
    <t xml:space="preserve">2026-10-06 20:06:00</t>
  </si>
  <si>
    <t xml:space="preserve">2026-10-07 20:04:29</t>
  </si>
  <si>
    <t xml:space="preserve">2026-10-08 08:04:43</t>
  </si>
  <si>
    <t xml:space="preserve">2026-10-08 20:02:00</t>
  </si>
  <si>
    <t xml:space="preserve">2026-10-05 20:02:29</t>
  </si>
  <si>
    <t xml:space="preserve">2026-10-06 20:01:41</t>
  </si>
  <si>
    <t xml:space="preserve">2026-10-07 08:01:22</t>
  </si>
  <si>
    <t xml:space="preserve">2026-10-08 08:00:31</t>
  </si>
  <si>
    <t xml:space="preserve">2026-10-08 20:01:42</t>
  </si>
  <si>
    <t xml:space="preserve">2026-10-05 20:02:03</t>
  </si>
  <si>
    <t xml:space="preserve">2026-10-06 08:02:05</t>
  </si>
  <si>
    <t xml:space="preserve">2026-10-06 20:05:39</t>
  </si>
  <si>
    <t xml:space="preserve">2026-10-07 08:03:28</t>
  </si>
  <si>
    <t xml:space="preserve">2026-10-07 20:00:36</t>
  </si>
  <si>
    <t xml:space="preserve">2026-10-08 08:00:43</t>
  </si>
  <si>
    <t xml:space="preserve">2026-10-08 20:05:07</t>
  </si>
  <si>
    <t xml:space="preserve">2026-10-05 20:02:44</t>
  </si>
  <si>
    <t xml:space="preserve">2026-10-06 08:06:40</t>
  </si>
  <si>
    <t xml:space="preserve">2026-10-06 20:05:24</t>
  </si>
  <si>
    <t xml:space="preserve">2026-10-07 08:00:01</t>
  </si>
  <si>
    <t xml:space="preserve">2026-10-07 20:03:36</t>
  </si>
  <si>
    <t xml:space="preserve">2026-10-08 08:03:43</t>
  </si>
  <si>
    <t xml:space="preserve">2026-10-08 20:05:02</t>
  </si>
  <si>
    <t xml:space="preserve">2026-10-05 20:03:27</t>
  </si>
  <si>
    <t xml:space="preserve">2026-10-06 08:02:24</t>
  </si>
  <si>
    <t xml:space="preserve">2026-10-06 20:03:35</t>
  </si>
  <si>
    <t xml:space="preserve">2026-10-07 08:01:33</t>
  </si>
  <si>
    <t xml:space="preserve">2026-10-07 20:01:36</t>
  </si>
  <si>
    <t xml:space="preserve">2026-10-08 20:04:54</t>
  </si>
  <si>
    <t xml:space="preserve">2026-10-05 20:04:10</t>
  </si>
  <si>
    <t xml:space="preserve">2026-10-06 08:01:15</t>
  </si>
  <si>
    <t xml:space="preserve">2026-10-06 20:04:55</t>
  </si>
  <si>
    <t xml:space="preserve">2026-10-07 20:03:05</t>
  </si>
  <si>
    <t xml:space="preserve">2026-10-08 08:03:06</t>
  </si>
  <si>
    <t xml:space="preserve">2026-10-05 20:06:59</t>
  </si>
  <si>
    <t xml:space="preserve">2026-10-06 08:00:54</t>
  </si>
  <si>
    <t xml:space="preserve">2026-10-06 20:03:28</t>
  </si>
  <si>
    <t xml:space="preserve">2026-10-07 08:01:23</t>
  </si>
  <si>
    <t xml:space="preserve">2026-10-07 20:04:51</t>
  </si>
  <si>
    <t xml:space="preserve">2026-10-08 08:00:39</t>
  </si>
  <si>
    <t xml:space="preserve">2026-10-08 20:04:24</t>
  </si>
  <si>
    <t xml:space="preserve">2026-10-05 20:03:39</t>
  </si>
  <si>
    <t xml:space="preserve">2026-10-06 08:00:29</t>
  </si>
  <si>
    <t xml:space="preserve">2026-10-06 20:03:05</t>
  </si>
  <si>
    <t xml:space="preserve">2026-10-07 20:03:27</t>
  </si>
  <si>
    <t xml:space="preserve">2026-10-05 20:01:01</t>
  </si>
  <si>
    <t xml:space="preserve">2026-10-06 08:02:25</t>
  </si>
  <si>
    <t xml:space="preserve">2026-10-06 20:01:21</t>
  </si>
  <si>
    <t xml:space="preserve">2026-10-07 08:04:29</t>
  </si>
  <si>
    <t xml:space="preserve">2026-10-07 20:00:53</t>
  </si>
  <si>
    <t xml:space="preserve">2026-10-08 08:01:03</t>
  </si>
  <si>
    <t xml:space="preserve">2026-10-08 20:08:56</t>
  </si>
  <si>
    <t xml:space="preserve">2026-10-05 20:05:24</t>
  </si>
  <si>
    <t xml:space="preserve">2026-10-06 08:04:14</t>
  </si>
  <si>
    <t xml:space="preserve">2026-10-06 20:00:59</t>
  </si>
  <si>
    <t xml:space="preserve">2026-10-07 08:06:13</t>
  </si>
  <si>
    <t xml:space="preserve">2026-10-07 20:04:03</t>
  </si>
  <si>
    <t xml:space="preserve">2026-10-08 08:05:07</t>
  </si>
  <si>
    <t xml:space="preserve">2026-10-08 20:01:31</t>
  </si>
  <si>
    <t xml:space="preserve">2026-10-05 20:00:25</t>
  </si>
  <si>
    <t xml:space="preserve">2026-10-06 08:01:40</t>
  </si>
  <si>
    <t xml:space="preserve">2026-10-06 20:01:52</t>
  </si>
  <si>
    <t xml:space="preserve">2026-10-07 08:02:16</t>
  </si>
  <si>
    <t xml:space="preserve">2026-10-07 20:02:16</t>
  </si>
  <si>
    <t xml:space="preserve">2026-10-08 08:02:27</t>
  </si>
  <si>
    <t xml:space="preserve">2026-10-08 20:03:32</t>
  </si>
  <si>
    <t xml:space="preserve">2026-10-05 20:02:28</t>
  </si>
  <si>
    <t xml:space="preserve">2026-10-06 08:00:12</t>
  </si>
  <si>
    <t xml:space="preserve">2026-10-06 20:01:03</t>
  </si>
  <si>
    <t xml:space="preserve">2026-10-07 08:04:10</t>
  </si>
  <si>
    <t xml:space="preserve">2026-10-07 20:00:19</t>
  </si>
  <si>
    <t xml:space="preserve">2026-10-08 08:04:02</t>
  </si>
  <si>
    <t xml:space="preserve">2026-10-08 20:04:29</t>
  </si>
  <si>
    <t xml:space="preserve">2026-10-05 20:06:26</t>
  </si>
  <si>
    <t xml:space="preserve">2026-10-06 08:04:43</t>
  </si>
  <si>
    <t xml:space="preserve">2026-10-06 20:00:28</t>
  </si>
  <si>
    <t xml:space="preserve">2026-10-07 08:01:59</t>
  </si>
  <si>
    <t xml:space="preserve">2026-10-07 20:05:24</t>
  </si>
  <si>
    <t xml:space="preserve">2026-10-08 08:05:48</t>
  </si>
  <si>
    <t xml:space="preserve">2026-10-08 20:05:29</t>
  </si>
  <si>
    <t xml:space="preserve">2026-10-05 20:01:20</t>
  </si>
  <si>
    <t xml:space="preserve">2026-10-06 08:01:16</t>
  </si>
  <si>
    <t xml:space="preserve">2026-10-07 20:02:26</t>
  </si>
  <si>
    <t xml:space="preserve">2026-10-08 20:01:54</t>
  </si>
  <si>
    <t xml:space="preserve">Infra Success Rate per scheduled run (08:00 / 20:00 UTC), pooled over three servers (3,600 requests per provider per run: 100 x 12 countries x 3 servers). Last column: the two latest runs together.</t>
  </si>
  <si>
    <t xml:space="preserve">Last 2 runs</t>
  </si>
  <si>
    <t xml:space="preserve">Sticky Session Stability per run (24 sessions per provider per run: 8 x 3 servers). Floppydata runs before the official-format switch are empty. Small samples: read as a trend, not as a ranking.</t>
  </si>
  <si>
    <t xml:space="preserve">20261005-2130</t>
  </si>
  <si>
    <t xml:space="preserve">20261006-0330</t>
  </si>
  <si>
    <t xml:space="preserve">20261006-0930</t>
  </si>
  <si>
    <t xml:space="preserve">20261006-1530</t>
  </si>
  <si>
    <t xml:space="preserve">20261006-2130</t>
  </si>
  <si>
    <t xml:space="preserve">20261007-0330</t>
  </si>
  <si>
    <t xml:space="preserve">20261007-0930</t>
  </si>
  <si>
    <t xml:space="preserve">20261007-1530</t>
  </si>
  <si>
    <t xml:space="preserve">20261007-2130</t>
  </si>
  <si>
    <t xml:space="preserve">20261008-0330</t>
  </si>
  <si>
    <t xml:space="preserve">20261008-0930</t>
  </si>
  <si>
    <t xml:space="preserve">20261008-1530</t>
  </si>
  <si>
    <t xml:space="preserve">20261008-2130</t>
  </si>
  <si>
    <t xml:space="preserve">Method and limitations (read before citing the numbers)</t>
  </si>
  <si>
    <t xml:space="preserve">Period: 5-8 October 2026 (UTC). Three Hetzner Cloud servers: USA (Ashburn), Germany, Singapore; direct internet, no VPN.</t>
  </si>
  <si>
    <t xml:space="preserve">12 providers, 12 countries (US, DE, GB, FR, ES, BR, IN, PL, UA, TR, VN, ID). Bright Data and Byteful were not tested (identity verification).</t>
  </si>
  <si>
    <t xml:space="preserve">We test our own provider Floppydata together with competitors: all scripts and raw data are published for verification.</t>
  </si>
  <si>
    <t xml:space="preserve">Infra test: https://www.cloudflare.com/cdn-cgi/trace, new IP on every request, timeout 30 s, 5 parallel requests, failures count as results.</t>
  </si>
  <si>
    <t xml:space="preserve">Geo Accuracy uses a single database (Cloudflare); the IPinfo cross-check is in the IP quality tab.</t>
  </si>
  <si>
    <t xml:space="preserve">Targets: Wikipedia (control) and Amazon search (US, DE, GB). Plain HTTP client with a Chrome TLS fingerprint, no JavaScript, so absolute Amazon numbers are lower than in a real browser.</t>
  </si>
  <si>
    <t xml:space="preserve">Sticky: sessions of 30 minutes, one check per 30 s, evaluated in the first 25 minutes (a session ends by design at 30 min). Where the duration is not set in the login (set in the panel or default), the provider default was tested.</t>
  </si>
  <si>
    <t xml:space="preserve">Floppydata sticky: only the format from its official documentation (session id + rotation-0) counts; earlier runs are excluded.</t>
  </si>
  <si>
    <t xml:space="preserve">Latency is the full request time (connect, tunnel, TLS, response); TTFB is measured separately (TTFB tab). It depends strongly on the distance between the test server and the exit country.</t>
  </si>
  <si>
    <t xml:space="preserve">Prices are as paid for the purchased packages (some with tax, some without), so they are not strictly comparable by volume; ProxyEmpire 8.47 includes tax ($7.00 without).</t>
  </si>
  <si>
    <t xml:space="preserve">Cost per Successful Request is an estimate: wire bytes per request are modelled (see assumptions at the top of that tab) and should be calibrated with provider panel counters.</t>
  </si>
  <si>
    <t xml:space="preserve">Rayobyte uses a gateway in Los Angeles; NodeMaven was tested with default settings; Evomi on the Core tariff; SOAX on the Sandbox tariff.</t>
  </si>
  <si>
    <t xml:space="preserve">The test is a three-day snapshot, not continuous monitoring. Differences smaller than the width of the confidence intervals are not significant.</t>
  </si>
</sst>
</file>

<file path=xl/styles.xml><?xml version="1.0" encoding="utf-8"?>
<styleSheet xmlns="http://schemas.openxmlformats.org/spreadsheetml/2006/main">
  <numFmts count="5">
    <numFmt numFmtId="164" formatCode="General"/>
    <numFmt numFmtId="165" formatCode="0.0%"/>
    <numFmt numFmtId="166" formatCode="0.00"/>
    <numFmt numFmtId="167" formatCode="0.0"/>
    <numFmt numFmtId="168" formatCode="0.0000"/>
  </numFmts>
  <fonts count="8">
    <font>
      <sz val="11"/>
      <color theme="1"/>
      <name val="Calibri"/>
      <family val="2"/>
      <charset val="1"/>
    </font>
    <font>
      <sz val="10"/>
      <name val="Arial"/>
      <family val="0"/>
    </font>
    <font>
      <sz val="10"/>
      <name val="Arial"/>
      <family val="0"/>
    </font>
    <font>
      <sz val="10"/>
      <name val="Arial"/>
      <family val="0"/>
    </font>
    <font>
      <i val="true"/>
      <sz val="11"/>
      <color rgb="FF555555"/>
      <name val="Cambria"/>
      <family val="0"/>
      <charset val="1"/>
    </font>
    <font>
      <b val="true"/>
      <sz val="11"/>
      <color rgb="FFFFFFFF"/>
      <name val="Cambria"/>
      <family val="0"/>
      <charset val="1"/>
    </font>
    <font>
      <b val="true"/>
      <sz val="11"/>
      <name val="Cambria"/>
      <family val="0"/>
      <charset val="1"/>
    </font>
    <font>
      <b val="true"/>
      <sz val="13"/>
      <name val="Cambria"/>
      <family val="0"/>
      <charset val="1"/>
    </font>
  </fonts>
  <fills count="3">
    <fill>
      <patternFill patternType="none"/>
    </fill>
    <fill>
      <patternFill patternType="gray125"/>
    </fill>
    <fill>
      <patternFill patternType="solid">
        <fgColor rgb="FF1F3A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8"/>
    <col collapsed="false" customWidth="true" hidden="false" outlineLevel="0" max="4" min="4" style="0" width="44"/>
    <col collapsed="false" customWidth="true" hidden="false" outlineLevel="0" max="5" min="5" style="0" width="16"/>
    <col collapsed="false" customWidth="true" hidden="false" outlineLevel="0" max="6" min="6" style="0" width="12"/>
    <col collapsed="false" customWidth="true" hidden="false" outlineLevel="0" max="7" min="7" style="0" width="22"/>
    <col collapsed="false" customWidth="true" hidden="false" outlineLevel="0" max="8" min="8" style="0" width="36"/>
    <col collapsed="false" customWidth="true" hidden="false" outlineLevel="0" max="10" min="9" style="0" width="22"/>
    <col collapsed="false" customWidth="true" hidden="false" outlineLevel="0" max="11" min="11" style="0" width="24"/>
    <col collapsed="false" customWidth="true" hidden="false" outlineLevel="0" max="12" min="12" style="0" width="56"/>
    <col collapsed="false" customWidth="true" hidden="false" outlineLevel="0" max="14" min="13" style="0" width="18"/>
    <col collapsed="false" customWidth="true" hidden="false" outlineLevel="0" max="15" min="15" style="0" width="22"/>
    <col collapsed="false" customWidth="true" hidden="false" outlineLevel="0" max="16" min="16" style="0" width="28"/>
    <col collapsed="false" customWidth="true" hidden="false" outlineLevel="0" max="17" min="17" style="0" width="26"/>
  </cols>
  <sheetData>
    <row r="1" customFormat="false" ht="15" hidden="false" customHeight="false" outlineLevel="0" collapsed="false">
      <c r="A1" s="1" t="s">
        <v>0</v>
      </c>
    </row>
    <row r="3" customFormat="false" ht="45" hidden="false" customHeight="true" outlineLevel="0" collapsed="false">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row>
    <row r="4" customFormat="false" ht="108.95" hidden="false" customHeight="false" outlineLevel="0" collapsed="false">
      <c r="A4" s="3" t="s">
        <v>18</v>
      </c>
      <c r="B4" s="4" t="s">
        <v>19</v>
      </c>
      <c r="C4" s="4" t="s">
        <v>20</v>
      </c>
      <c r="D4" s="4" t="s">
        <v>21</v>
      </c>
      <c r="E4" s="4" t="s">
        <v>22</v>
      </c>
      <c r="F4" s="5" t="n">
        <v>0.0529353233830846</v>
      </c>
      <c r="G4" s="4" t="s">
        <v>23</v>
      </c>
      <c r="H4" s="4" t="s">
        <v>24</v>
      </c>
      <c r="I4" s="4" t="s">
        <v>25</v>
      </c>
      <c r="J4" s="4" t="s">
        <v>26</v>
      </c>
      <c r="K4" s="4" t="s">
        <v>27</v>
      </c>
      <c r="L4" s="4" t="s">
        <v>28</v>
      </c>
      <c r="M4" s="4" t="str">
        <f aca="false">'Cost per Successful Request'!H6</f>
        <v>measured 0.020 $ per 1000 successful (all tests, panel counters); est. split per 1000 successful: Infra 0.0062; Wikipedia 0.067, Amazon 0.354</v>
      </c>
      <c r="N4" s="4" t="s">
        <v>29</v>
      </c>
      <c r="O4" s="4" t="s">
        <v>30</v>
      </c>
      <c r="P4" s="4" t="s">
        <v>31</v>
      </c>
      <c r="Q4" s="4" t="s">
        <v>32</v>
      </c>
    </row>
    <row r="5" customFormat="false" ht="108.95" hidden="false" customHeight="false" outlineLevel="0" collapsed="false">
      <c r="A5" s="3" t="s">
        <v>33</v>
      </c>
      <c r="B5" s="4" t="s">
        <v>34</v>
      </c>
      <c r="C5" s="4" t="s">
        <v>35</v>
      </c>
      <c r="D5" s="4" t="s">
        <v>36</v>
      </c>
      <c r="E5" s="4" t="s">
        <v>37</v>
      </c>
      <c r="F5" s="5" t="n">
        <v>0.116989839290774</v>
      </c>
      <c r="G5" s="4" t="s">
        <v>38</v>
      </c>
      <c r="H5" s="4" t="s">
        <v>39</v>
      </c>
      <c r="I5" s="4" t="s">
        <v>40</v>
      </c>
      <c r="J5" s="4" t="s">
        <v>41</v>
      </c>
      <c r="K5" s="4" t="s">
        <v>42</v>
      </c>
      <c r="L5" s="4" t="s">
        <v>43</v>
      </c>
      <c r="M5" s="4" t="str">
        <f aca="false">'Cost per Successful Request'!H7</f>
        <v>measured 0.019 $ per 1000 successful (all tests, panel counters); est. split per 1000 successful: Infra 0.0063; Wikipedia 0.067, Amazon 0.375</v>
      </c>
      <c r="N5" s="4" t="s">
        <v>44</v>
      </c>
      <c r="O5" s="4" t="s">
        <v>45</v>
      </c>
      <c r="P5" s="4" t="s">
        <v>46</v>
      </c>
      <c r="Q5" s="4" t="s">
        <v>47</v>
      </c>
    </row>
    <row r="6" customFormat="false" ht="108.95" hidden="false" customHeight="false" outlineLevel="0" collapsed="false">
      <c r="A6" s="3" t="s">
        <v>48</v>
      </c>
      <c r="B6" s="4" t="s">
        <v>49</v>
      </c>
      <c r="C6" s="4" t="s">
        <v>50</v>
      </c>
      <c r="D6" s="4" t="s">
        <v>51</v>
      </c>
      <c r="E6" s="4" t="s">
        <v>52</v>
      </c>
      <c r="F6" s="5" t="n">
        <v>0.0219221604447974</v>
      </c>
      <c r="G6" s="4" t="s">
        <v>53</v>
      </c>
      <c r="H6" s="4" t="s">
        <v>54</v>
      </c>
      <c r="I6" s="4" t="s">
        <v>55</v>
      </c>
      <c r="J6" s="4" t="s">
        <v>56</v>
      </c>
      <c r="K6" s="4" t="s">
        <v>57</v>
      </c>
      <c r="L6" s="4" t="s">
        <v>58</v>
      </c>
      <c r="M6" s="4" t="str">
        <f aca="false">'Cost per Successful Request'!H8</f>
        <v>measured 0.124 $ per 1000 successful (all tests, panel counters); est. split per 1000 successful: Infra 0.0373; Wikipedia 0.400, Amazon 2.184</v>
      </c>
      <c r="N6" s="4" t="s">
        <v>59</v>
      </c>
      <c r="O6" s="4" t="s">
        <v>60</v>
      </c>
      <c r="P6" s="4" t="s">
        <v>61</v>
      </c>
      <c r="Q6" s="4" t="s">
        <v>62</v>
      </c>
    </row>
    <row r="7" customFormat="false" ht="108.95" hidden="false" customHeight="false" outlineLevel="0" collapsed="false">
      <c r="A7" s="3" t="s">
        <v>63</v>
      </c>
      <c r="B7" s="4" t="s">
        <v>19</v>
      </c>
      <c r="C7" s="4" t="s">
        <v>64</v>
      </c>
      <c r="D7" s="4" t="s">
        <v>65</v>
      </c>
      <c r="E7" s="4" t="s">
        <v>66</v>
      </c>
      <c r="F7" s="5" t="n">
        <v>0.225105468439067</v>
      </c>
      <c r="G7" s="4" t="s">
        <v>67</v>
      </c>
      <c r="H7" s="4" t="s">
        <v>68</v>
      </c>
      <c r="I7" s="4" t="s">
        <v>69</v>
      </c>
      <c r="J7" s="4" t="s">
        <v>70</v>
      </c>
      <c r="K7" s="4" t="s">
        <v>71</v>
      </c>
      <c r="L7" s="4" t="s">
        <v>72</v>
      </c>
      <c r="M7" s="4" t="str">
        <f aca="false">'Cost per Successful Request'!H9</f>
        <v>measured 0.066 $ per 1000 successful (all tests, panel counters); est. split per 1000 successful: Infra 0.0218; Wikipedia 0.234, Amazon 1.285</v>
      </c>
      <c r="N7" s="4" t="s">
        <v>73</v>
      </c>
      <c r="O7" s="4" t="s">
        <v>74</v>
      </c>
      <c r="P7" s="4" t="s">
        <v>75</v>
      </c>
      <c r="Q7" s="4" t="s">
        <v>76</v>
      </c>
    </row>
    <row r="8" customFormat="false" ht="108.95" hidden="false" customHeight="false" outlineLevel="0" collapsed="false">
      <c r="A8" s="3" t="s">
        <v>77</v>
      </c>
      <c r="B8" s="4" t="s">
        <v>78</v>
      </c>
      <c r="C8" s="4" t="s">
        <v>79</v>
      </c>
      <c r="D8" s="4" t="s">
        <v>80</v>
      </c>
      <c r="E8" s="4" t="s">
        <v>81</v>
      </c>
      <c r="F8" s="5" t="n">
        <v>0.0217607907217727</v>
      </c>
      <c r="G8" s="4" t="s">
        <v>82</v>
      </c>
      <c r="H8" s="4" t="s">
        <v>83</v>
      </c>
      <c r="I8" s="4" t="s">
        <v>84</v>
      </c>
      <c r="J8" s="4" t="s">
        <v>56</v>
      </c>
      <c r="K8" s="4" t="s">
        <v>85</v>
      </c>
      <c r="L8" s="4" t="s">
        <v>86</v>
      </c>
      <c r="M8" s="4" t="str">
        <f aca="false">'Cost per Successful Request'!H10</f>
        <v>measured 0.052 $ per 1000 successful (all tests, panel counters); est. split per 1000 successful: Infra 0.0168; Wikipedia 0.180, Amazon 0.986</v>
      </c>
      <c r="N8" s="4" t="s">
        <v>87</v>
      </c>
      <c r="O8" s="4" t="s">
        <v>88</v>
      </c>
      <c r="P8" s="4" t="s">
        <v>89</v>
      </c>
      <c r="Q8" s="4" t="s">
        <v>90</v>
      </c>
    </row>
    <row r="9" customFormat="false" ht="108.95" hidden="false" customHeight="false" outlineLevel="0" collapsed="false">
      <c r="A9" s="3" t="s">
        <v>91</v>
      </c>
      <c r="B9" s="4" t="s">
        <v>78</v>
      </c>
      <c r="C9" s="4" t="s">
        <v>92</v>
      </c>
      <c r="D9" s="4" t="s">
        <v>93</v>
      </c>
      <c r="E9" s="4" t="s">
        <v>94</v>
      </c>
      <c r="F9" s="5" t="n">
        <v>0.0539614219671608</v>
      </c>
      <c r="G9" s="4" t="s">
        <v>19</v>
      </c>
      <c r="H9" s="4" t="s">
        <v>95</v>
      </c>
      <c r="I9" s="4" t="s">
        <v>84</v>
      </c>
      <c r="J9" s="4" t="s">
        <v>56</v>
      </c>
      <c r="K9" s="4" t="s">
        <v>96</v>
      </c>
      <c r="L9" s="4" t="s">
        <v>97</v>
      </c>
      <c r="M9" s="4" t="str">
        <f aca="false">'Cost per Successful Request'!H11</f>
        <v>measured 0.166 $ per 1000 successful (all tests, panel counters); est. split per 1000 successful: Infra 0.0529; Wikipedia 0.565, Amazon 3.158</v>
      </c>
      <c r="N9" s="4" t="s">
        <v>98</v>
      </c>
      <c r="O9" s="4" t="s">
        <v>99</v>
      </c>
      <c r="P9" s="4" t="s">
        <v>100</v>
      </c>
      <c r="Q9" s="4" t="s">
        <v>101</v>
      </c>
    </row>
    <row r="10" customFormat="false" ht="108.95" hidden="false" customHeight="false" outlineLevel="0" collapsed="false">
      <c r="A10" s="3" t="s">
        <v>102</v>
      </c>
      <c r="B10" s="4" t="s">
        <v>103</v>
      </c>
      <c r="C10" s="4" t="s">
        <v>104</v>
      </c>
      <c r="D10" s="4" t="s">
        <v>105</v>
      </c>
      <c r="E10" s="4" t="s">
        <v>106</v>
      </c>
      <c r="F10" s="5" t="n">
        <v>0.0908874045801527</v>
      </c>
      <c r="G10" s="4" t="s">
        <v>107</v>
      </c>
      <c r="H10" s="4" t="s">
        <v>108</v>
      </c>
      <c r="I10" s="4" t="s">
        <v>109</v>
      </c>
      <c r="J10" s="4" t="s">
        <v>41</v>
      </c>
      <c r="K10" s="4" t="s">
        <v>71</v>
      </c>
      <c r="L10" s="4" t="s">
        <v>110</v>
      </c>
      <c r="M10" s="4" t="str">
        <f aca="false">'Cost per Successful Request'!H12</f>
        <v>measured 0.091 $ per 1000 successful (all tests, panel counters); est. split per 1000 successful: Infra 0.0291; Wikipedia 0.312, Amazon 1.743</v>
      </c>
      <c r="N10" s="4" t="s">
        <v>111</v>
      </c>
      <c r="O10" s="4" t="s">
        <v>112</v>
      </c>
      <c r="P10" s="4" t="s">
        <v>113</v>
      </c>
      <c r="Q10" s="4" t="s">
        <v>114</v>
      </c>
    </row>
    <row r="11" customFormat="false" ht="108.95" hidden="false" customHeight="false" outlineLevel="0" collapsed="false">
      <c r="A11" s="3" t="s">
        <v>115</v>
      </c>
      <c r="B11" s="4" t="s">
        <v>116</v>
      </c>
      <c r="C11" s="4" t="s">
        <v>117</v>
      </c>
      <c r="D11" s="4" t="s">
        <v>118</v>
      </c>
      <c r="E11" s="4" t="s">
        <v>119</v>
      </c>
      <c r="F11" s="5" t="n">
        <v>0.0672165112757989</v>
      </c>
      <c r="G11" s="4" t="s">
        <v>38</v>
      </c>
      <c r="H11" s="4" t="s">
        <v>120</v>
      </c>
      <c r="I11" s="4" t="s">
        <v>121</v>
      </c>
      <c r="J11" s="4" t="s">
        <v>122</v>
      </c>
      <c r="K11" s="4" t="s">
        <v>123</v>
      </c>
      <c r="L11" s="4" t="s">
        <v>124</v>
      </c>
      <c r="M11" s="4" t="str">
        <f aca="false">'Cost per Successful Request'!H13</f>
        <v>measured 0.100 $ per 1000 successful (all tests, panel counters); est. split per 1000 successful: Infra 0.0312; Wikipedia 0.334, Amazon 1.858</v>
      </c>
      <c r="N11" s="4" t="s">
        <v>125</v>
      </c>
      <c r="O11" s="4" t="s">
        <v>126</v>
      </c>
      <c r="P11" s="4" t="s">
        <v>127</v>
      </c>
      <c r="Q11" s="4" t="s">
        <v>128</v>
      </c>
    </row>
    <row r="12" customFormat="false" ht="108.95" hidden="false" customHeight="false" outlineLevel="0" collapsed="false">
      <c r="A12" s="3" t="s">
        <v>129</v>
      </c>
      <c r="B12" s="4" t="s">
        <v>130</v>
      </c>
      <c r="C12" s="4" t="s">
        <v>131</v>
      </c>
      <c r="D12" s="4" t="s">
        <v>132</v>
      </c>
      <c r="E12" s="4" t="s">
        <v>133</v>
      </c>
      <c r="F12" s="5" t="n">
        <v>0.0224745870393901</v>
      </c>
      <c r="G12" s="4" t="s">
        <v>82</v>
      </c>
      <c r="H12" s="4" t="s">
        <v>39</v>
      </c>
      <c r="I12" s="4" t="s">
        <v>134</v>
      </c>
      <c r="J12" s="4" t="s">
        <v>56</v>
      </c>
      <c r="K12" s="4" t="s">
        <v>135</v>
      </c>
      <c r="L12" s="4" t="s">
        <v>136</v>
      </c>
      <c r="M12" s="4" t="str">
        <f aca="false">'Cost per Successful Request'!H14</f>
        <v>measured 0.077 $ per 1000 successful (all tests, panel counters); est. split per 1000 successful: Infra 0.0233; Wikipedia 0.250, Amazon 1.368</v>
      </c>
      <c r="N12" s="4" t="s">
        <v>137</v>
      </c>
      <c r="O12" s="4" t="s">
        <v>138</v>
      </c>
      <c r="P12" s="4" t="s">
        <v>139</v>
      </c>
      <c r="Q12" s="4" t="s">
        <v>140</v>
      </c>
    </row>
    <row r="13" customFormat="false" ht="108.95" hidden="false" customHeight="false" outlineLevel="0" collapsed="false">
      <c r="A13" s="3" t="s">
        <v>141</v>
      </c>
      <c r="B13" s="4" t="s">
        <v>53</v>
      </c>
      <c r="C13" s="4" t="s">
        <v>142</v>
      </c>
      <c r="D13" s="4" t="s">
        <v>143</v>
      </c>
      <c r="E13" s="4" t="s">
        <v>144</v>
      </c>
      <c r="F13" s="5" t="n">
        <v>0.0515041926638318</v>
      </c>
      <c r="G13" s="4" t="s">
        <v>116</v>
      </c>
      <c r="H13" s="4" t="s">
        <v>108</v>
      </c>
      <c r="I13" s="4" t="s">
        <v>145</v>
      </c>
      <c r="J13" s="4" t="s">
        <v>56</v>
      </c>
      <c r="K13" s="4" t="s">
        <v>146</v>
      </c>
      <c r="L13" s="4" t="s">
        <v>147</v>
      </c>
      <c r="M13" s="4" t="str">
        <f aca="false">'Cost per Successful Request'!H15</f>
        <v>measured 0.020 $ per 1000 successful (all tests, panel counters); est. split per 1000 successful: Infra 0.0065; Wikipedia 0.069, Amazon 0.384</v>
      </c>
      <c r="N13" s="4" t="s">
        <v>148</v>
      </c>
      <c r="O13" s="4" t="s">
        <v>149</v>
      </c>
      <c r="P13" s="4" t="s">
        <v>150</v>
      </c>
      <c r="Q13" s="4" t="s">
        <v>151</v>
      </c>
    </row>
    <row r="14" customFormat="false" ht="108.95" hidden="false" customHeight="false" outlineLevel="0" collapsed="false">
      <c r="A14" s="3" t="s">
        <v>152</v>
      </c>
      <c r="B14" s="4" t="s">
        <v>153</v>
      </c>
      <c r="C14" s="4" t="s">
        <v>154</v>
      </c>
      <c r="D14" s="4" t="s">
        <v>155</v>
      </c>
      <c r="E14" s="4" t="s">
        <v>156</v>
      </c>
      <c r="F14" s="5" t="n">
        <v>0.0663559425978167</v>
      </c>
      <c r="G14" s="4" t="s">
        <v>107</v>
      </c>
      <c r="H14" s="4" t="s">
        <v>95</v>
      </c>
      <c r="I14" s="4" t="s">
        <v>56</v>
      </c>
      <c r="J14" s="4" t="s">
        <v>157</v>
      </c>
      <c r="K14" s="4" t="s">
        <v>146</v>
      </c>
      <c r="L14" s="4" t="s">
        <v>158</v>
      </c>
      <c r="M14" s="4" t="str">
        <f aca="false">'Cost per Successful Request'!H16</f>
        <v>measured 0.015 $ per 1000 successful (all tests, panel counters); est. split per 1000 successful: Infra 0.0051; Wikipedia 0.053, Amazon 0.287</v>
      </c>
      <c r="N14" s="4" t="s">
        <v>159</v>
      </c>
      <c r="O14" s="4" t="s">
        <v>160</v>
      </c>
      <c r="P14" s="4" t="s">
        <v>161</v>
      </c>
      <c r="Q14" s="4" t="s">
        <v>162</v>
      </c>
    </row>
    <row r="15" customFormat="false" ht="108.95" hidden="false" customHeight="false" outlineLevel="0" collapsed="false">
      <c r="A15" s="3" t="s">
        <v>163</v>
      </c>
      <c r="B15" s="4" t="s">
        <v>164</v>
      </c>
      <c r="C15" s="4" t="s">
        <v>165</v>
      </c>
      <c r="D15" s="4" t="s">
        <v>166</v>
      </c>
      <c r="E15" s="4" t="s">
        <v>167</v>
      </c>
      <c r="F15" s="5" t="n">
        <v>0.0697043450504729</v>
      </c>
      <c r="G15" s="4" t="s">
        <v>78</v>
      </c>
      <c r="H15" s="4" t="s">
        <v>168</v>
      </c>
      <c r="I15" s="4" t="s">
        <v>145</v>
      </c>
      <c r="J15" s="4" t="s">
        <v>56</v>
      </c>
      <c r="K15" s="4" t="s">
        <v>146</v>
      </c>
      <c r="L15" s="4" t="s">
        <v>169</v>
      </c>
      <c r="M15" s="4" t="str">
        <f aca="false">'Cost per Successful Request'!H17</f>
        <v>measured 0.104 $ per 1000 successful (all tests, panel counters); est. split per 1000 successful: Infra 0.0332; Wikipedia 0.354, Amazon 1.921</v>
      </c>
      <c r="N15" s="4" t="s">
        <v>125</v>
      </c>
      <c r="O15" s="4" t="s">
        <v>170</v>
      </c>
      <c r="P15" s="4" t="s">
        <v>171</v>
      </c>
      <c r="Q15" s="4" t="s">
        <v>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12" min="3" style="0" width="16"/>
  </cols>
  <sheetData>
    <row r="1" customFormat="false" ht="15" hidden="false" customHeight="false" outlineLevel="0" collapsed="false">
      <c r="A1" s="1" t="s">
        <v>173</v>
      </c>
    </row>
    <row r="3" customFormat="false" ht="45" hidden="false" customHeight="true" outlineLevel="0" collapsed="false">
      <c r="A3" s="2" t="s">
        <v>1</v>
      </c>
      <c r="B3" s="2" t="s">
        <v>174</v>
      </c>
      <c r="C3" s="2" t="s">
        <v>175</v>
      </c>
      <c r="D3" s="2" t="s">
        <v>176</v>
      </c>
      <c r="E3" s="2" t="s">
        <v>2</v>
      </c>
      <c r="F3" s="2" t="s">
        <v>177</v>
      </c>
      <c r="G3" s="2" t="s">
        <v>178</v>
      </c>
      <c r="H3" s="2" t="s">
        <v>179</v>
      </c>
      <c r="I3" s="2" t="s">
        <v>180</v>
      </c>
      <c r="J3" s="2" t="s">
        <v>5</v>
      </c>
      <c r="K3" s="2" t="s">
        <v>6</v>
      </c>
      <c r="L3" s="2" t="s">
        <v>7</v>
      </c>
    </row>
    <row r="4" customFormat="false" ht="15" hidden="false" customHeight="false" outlineLevel="0" collapsed="false">
      <c r="A4" s="0" t="s">
        <v>18</v>
      </c>
      <c r="B4" s="0" t="s">
        <v>181</v>
      </c>
      <c r="C4" s="0" t="n">
        <v>8400</v>
      </c>
      <c r="D4" s="0" t="n">
        <v>8376</v>
      </c>
      <c r="E4" s="6" t="n">
        <v>0.997142857142857</v>
      </c>
      <c r="F4" s="6" t="n">
        <v>0.995751993300757</v>
      </c>
      <c r="G4" s="6" t="n">
        <v>0.998079208848508</v>
      </c>
      <c r="H4" s="7" t="n">
        <v>0.721</v>
      </c>
      <c r="I4" s="7" t="n">
        <v>2.049</v>
      </c>
      <c r="J4" s="0" t="n">
        <v>8206</v>
      </c>
      <c r="K4" s="6" t="n">
        <v>0.0202960840496658</v>
      </c>
      <c r="L4" s="6" t="n">
        <v>0.987344794651385</v>
      </c>
    </row>
    <row r="5" customFormat="false" ht="15" hidden="false" customHeight="false" outlineLevel="0" collapsed="false">
      <c r="A5" s="0" t="s">
        <v>18</v>
      </c>
      <c r="B5" s="0" t="s">
        <v>182</v>
      </c>
      <c r="C5" s="0" t="n">
        <v>8400</v>
      </c>
      <c r="D5" s="0" t="n">
        <v>8375</v>
      </c>
      <c r="E5" s="6" t="n">
        <v>0.99702380952381</v>
      </c>
      <c r="F5" s="6" t="n">
        <v>0.995609990654135</v>
      </c>
      <c r="G5" s="6" t="n">
        <v>0.997983225096148</v>
      </c>
      <c r="H5" s="7" t="n">
        <v>0.753</v>
      </c>
      <c r="I5" s="7" t="n">
        <v>2.036</v>
      </c>
      <c r="J5" s="0" t="n">
        <v>8177</v>
      </c>
      <c r="K5" s="6" t="n">
        <v>0.0236417910447762</v>
      </c>
      <c r="L5" s="6" t="n">
        <v>0.98865671641791</v>
      </c>
    </row>
    <row r="6" customFormat="false" ht="15" hidden="false" customHeight="false" outlineLevel="0" collapsed="false">
      <c r="A6" s="0" t="s">
        <v>18</v>
      </c>
      <c r="B6" s="0" t="s">
        <v>183</v>
      </c>
      <c r="C6" s="0" t="n">
        <v>8400</v>
      </c>
      <c r="D6" s="0" t="n">
        <v>8374</v>
      </c>
      <c r="E6" s="6" t="n">
        <v>0.996904761904762</v>
      </c>
      <c r="F6" s="6" t="n">
        <v>0.995468431126374</v>
      </c>
      <c r="G6" s="6" t="n">
        <v>0.997886798224927</v>
      </c>
      <c r="H6" s="7" t="n">
        <v>0.948</v>
      </c>
      <c r="I6" s="7" t="n">
        <v>2.105</v>
      </c>
      <c r="J6" s="0" t="n">
        <v>8240</v>
      </c>
      <c r="K6" s="6" t="n">
        <v>0.0160019106759016</v>
      </c>
      <c r="L6" s="6" t="n">
        <v>0.988655361834249</v>
      </c>
    </row>
    <row r="7" customFormat="false" ht="15" hidden="false" customHeight="false" outlineLevel="0" collapsed="false">
      <c r="A7" s="0" t="s">
        <v>18</v>
      </c>
      <c r="B7" s="0" t="s">
        <v>184</v>
      </c>
      <c r="C7" s="0" t="n">
        <v>25200</v>
      </c>
      <c r="D7" s="0" t="n">
        <v>25125</v>
      </c>
      <c r="E7" s="6" t="n">
        <v>0.99702380952381</v>
      </c>
      <c r="F7" s="6" t="n">
        <v>0.99627127817117</v>
      </c>
      <c r="G7" s="6" t="n">
        <v>0.99762482693687</v>
      </c>
      <c r="H7" s="7" t="n">
        <v>0.869</v>
      </c>
      <c r="I7" s="7" t="n">
        <v>2.078</v>
      </c>
      <c r="J7" s="0" t="n">
        <v>23795</v>
      </c>
      <c r="K7" s="6" t="n">
        <v>0.0529353233830846</v>
      </c>
      <c r="L7" s="6" t="n">
        <v>0.988218905472637</v>
      </c>
    </row>
    <row r="8" customFormat="false" ht="15" hidden="false" customHeight="false" outlineLevel="0" collapsed="false">
      <c r="A8" s="0" t="s">
        <v>33</v>
      </c>
      <c r="B8" s="0" t="s">
        <v>181</v>
      </c>
      <c r="C8" s="0" t="n">
        <v>8400</v>
      </c>
      <c r="D8" s="0" t="n">
        <v>8214</v>
      </c>
      <c r="E8" s="6" t="n">
        <v>0.977857142857143</v>
      </c>
      <c r="F8" s="6" t="n">
        <v>0.974485034612209</v>
      </c>
      <c r="G8" s="6" t="n">
        <v>0.980792370901955</v>
      </c>
      <c r="H8" s="7" t="n">
        <v>1.2125</v>
      </c>
      <c r="I8" s="7" t="n">
        <v>1.989</v>
      </c>
      <c r="J8" s="0" t="n">
        <v>7876</v>
      </c>
      <c r="K8" s="6" t="n">
        <v>0.0411492573654736</v>
      </c>
      <c r="L8" s="6" t="n">
        <v>0.996834672510348</v>
      </c>
    </row>
    <row r="9" customFormat="false" ht="15" hidden="false" customHeight="false" outlineLevel="0" collapsed="false">
      <c r="A9" s="0" t="s">
        <v>33</v>
      </c>
      <c r="B9" s="0" t="s">
        <v>182</v>
      </c>
      <c r="C9" s="0" t="n">
        <v>8400</v>
      </c>
      <c r="D9" s="0" t="n">
        <v>8205</v>
      </c>
      <c r="E9" s="6" t="n">
        <v>0.976785714285714</v>
      </c>
      <c r="F9" s="6" t="n">
        <v>0.973340850544305</v>
      </c>
      <c r="G9" s="6" t="n">
        <v>0.97979467737902</v>
      </c>
      <c r="H9" s="7" t="n">
        <v>0.778</v>
      </c>
      <c r="I9" s="7" t="n">
        <v>1.442</v>
      </c>
      <c r="J9" s="0" t="n">
        <v>7756</v>
      </c>
      <c r="K9" s="6" t="n">
        <v>0.0547227300426569</v>
      </c>
      <c r="L9" s="6" t="n">
        <v>0.998415600243754</v>
      </c>
    </row>
    <row r="10" customFormat="false" ht="15" hidden="false" customHeight="false" outlineLevel="0" collapsed="false">
      <c r="A10" s="0" t="s">
        <v>33</v>
      </c>
      <c r="B10" s="0" t="s">
        <v>183</v>
      </c>
      <c r="C10" s="0" t="n">
        <v>8400</v>
      </c>
      <c r="D10" s="0" t="n">
        <v>8284</v>
      </c>
      <c r="E10" s="6" t="n">
        <v>0.986190476190476</v>
      </c>
      <c r="F10" s="6" t="n">
        <v>0.983463253978795</v>
      </c>
      <c r="G10" s="6" t="n">
        <v>0.988473199464117</v>
      </c>
      <c r="H10" s="7" t="n">
        <v>0.735</v>
      </c>
      <c r="I10" s="7" t="n">
        <v>1.425</v>
      </c>
      <c r="J10" s="0" t="n">
        <v>7810</v>
      </c>
      <c r="K10" s="6" t="n">
        <v>0.0572187349106712</v>
      </c>
      <c r="L10" s="6" t="n">
        <v>0.998309995171415</v>
      </c>
    </row>
    <row r="11" customFormat="false" ht="15" hidden="false" customHeight="false" outlineLevel="0" collapsed="false">
      <c r="A11" s="0" t="s">
        <v>33</v>
      </c>
      <c r="B11" s="0" t="s">
        <v>184</v>
      </c>
      <c r="C11" s="0" t="n">
        <v>25200</v>
      </c>
      <c r="D11" s="0" t="n">
        <v>24703</v>
      </c>
      <c r="E11" s="6" t="n">
        <v>0.980277777777778</v>
      </c>
      <c r="F11" s="6" t="n">
        <v>0.978486388991435</v>
      </c>
      <c r="G11" s="6" t="n">
        <v>0.981922757525341</v>
      </c>
      <c r="H11" s="7" t="n">
        <v>0.93</v>
      </c>
      <c r="I11" s="7" t="n">
        <v>1.757</v>
      </c>
      <c r="J11" s="0" t="n">
        <v>21813</v>
      </c>
      <c r="K11" s="6" t="n">
        <v>0.116989839290774</v>
      </c>
      <c r="L11" s="6" t="n">
        <v>0.997854511597782</v>
      </c>
    </row>
    <row r="12" customFormat="false" ht="15" hidden="false" customHeight="false" outlineLevel="0" collapsed="false">
      <c r="A12" s="0" t="s">
        <v>48</v>
      </c>
      <c r="B12" s="0" t="s">
        <v>181</v>
      </c>
      <c r="C12" s="0" t="n">
        <v>8400</v>
      </c>
      <c r="D12" s="0" t="n">
        <v>8395</v>
      </c>
      <c r="E12" s="6" t="n">
        <v>0.999404761904762</v>
      </c>
      <c r="F12" s="6" t="n">
        <v>0.998607216068205</v>
      </c>
      <c r="G12" s="6" t="n">
        <v>0.99974572766172</v>
      </c>
      <c r="H12" s="7" t="n">
        <v>0.757</v>
      </c>
      <c r="I12" s="7" t="n">
        <v>1.357</v>
      </c>
      <c r="J12" s="0" t="n">
        <v>8332</v>
      </c>
      <c r="K12" s="6" t="n">
        <v>0.00750446694460993</v>
      </c>
      <c r="L12" s="6" t="n">
        <v>0.998927933293627</v>
      </c>
    </row>
    <row r="13" customFormat="false" ht="15" hidden="false" customHeight="false" outlineLevel="0" collapsed="false">
      <c r="A13" s="0" t="s">
        <v>48</v>
      </c>
      <c r="B13" s="0" t="s">
        <v>182</v>
      </c>
      <c r="C13" s="0" t="n">
        <v>8400</v>
      </c>
      <c r="D13" s="0" t="n">
        <v>8396</v>
      </c>
      <c r="E13" s="6" t="n">
        <v>0.99952380952381</v>
      </c>
      <c r="F13" s="6" t="n">
        <v>0.99877612340226</v>
      </c>
      <c r="G13" s="6" t="n">
        <v>0.999814806726646</v>
      </c>
      <c r="H13" s="7" t="n">
        <v>0.561</v>
      </c>
      <c r="I13" s="7" t="n">
        <v>1.296</v>
      </c>
      <c r="J13" s="0" t="n">
        <v>8329</v>
      </c>
      <c r="K13" s="6" t="n">
        <v>0.00797999047165321</v>
      </c>
      <c r="L13" s="6" t="n">
        <v>0.998213434969033</v>
      </c>
    </row>
    <row r="14" customFormat="false" ht="15" hidden="false" customHeight="false" outlineLevel="0" collapsed="false">
      <c r="A14" s="0" t="s">
        <v>48</v>
      </c>
      <c r="B14" s="0" t="s">
        <v>183</v>
      </c>
      <c r="C14" s="0" t="n">
        <v>8400</v>
      </c>
      <c r="D14" s="0" t="n">
        <v>8389</v>
      </c>
      <c r="E14" s="6" t="n">
        <v>0.998690476190476</v>
      </c>
      <c r="F14" s="6" t="n">
        <v>0.997656411812628</v>
      </c>
      <c r="G14" s="6" t="n">
        <v>0.999268613523404</v>
      </c>
      <c r="H14" s="7" t="n">
        <v>0.802</v>
      </c>
      <c r="I14" s="7" t="n">
        <v>1.319</v>
      </c>
      <c r="J14" s="0" t="n">
        <v>8332</v>
      </c>
      <c r="K14" s="6" t="n">
        <v>0.00679461199189413</v>
      </c>
      <c r="L14" s="6" t="n">
        <v>0.998450351650972</v>
      </c>
    </row>
    <row r="15" customFormat="false" ht="15" hidden="false" customHeight="false" outlineLevel="0" collapsed="false">
      <c r="A15" s="0" t="s">
        <v>48</v>
      </c>
      <c r="B15" s="0" t="s">
        <v>184</v>
      </c>
      <c r="C15" s="0" t="n">
        <v>25200</v>
      </c>
      <c r="D15" s="0" t="n">
        <v>25180</v>
      </c>
      <c r="E15" s="6" t="n">
        <v>0.999206349206349</v>
      </c>
      <c r="F15" s="6" t="n">
        <v>0.998774362340976</v>
      </c>
      <c r="G15" s="6" t="n">
        <v>0.999486156801471</v>
      </c>
      <c r="H15" s="7" t="n">
        <v>0.748</v>
      </c>
      <c r="I15" s="7" t="n">
        <v>1.325</v>
      </c>
      <c r="J15" s="0" t="n">
        <v>24628</v>
      </c>
      <c r="K15" s="6" t="n">
        <v>0.0219221604447974</v>
      </c>
      <c r="L15" s="6" t="n">
        <v>0.998530579825258</v>
      </c>
    </row>
    <row r="16" customFormat="false" ht="15" hidden="false" customHeight="false" outlineLevel="0" collapsed="false">
      <c r="A16" s="0" t="s">
        <v>63</v>
      </c>
      <c r="B16" s="0" t="s">
        <v>181</v>
      </c>
      <c r="C16" s="0" t="n">
        <v>8400</v>
      </c>
      <c r="D16" s="0" t="n">
        <v>8390</v>
      </c>
      <c r="E16" s="6" t="n">
        <v>0.998809523809524</v>
      </c>
      <c r="F16" s="6" t="n">
        <v>0.997809793553435</v>
      </c>
      <c r="G16" s="6" t="n">
        <v>0.999353218181579</v>
      </c>
      <c r="H16" s="7" t="n">
        <v>0.805</v>
      </c>
      <c r="I16" s="7" t="n">
        <v>2.259</v>
      </c>
      <c r="J16" s="0" t="n">
        <v>7199</v>
      </c>
      <c r="K16" s="6" t="n">
        <v>0.141954707985697</v>
      </c>
      <c r="L16" s="6" t="n">
        <v>0.989153754469607</v>
      </c>
    </row>
    <row r="17" customFormat="false" ht="15" hidden="false" customHeight="false" outlineLevel="0" collapsed="false">
      <c r="A17" s="0" t="s">
        <v>63</v>
      </c>
      <c r="B17" s="0" t="s">
        <v>182</v>
      </c>
      <c r="C17" s="0" t="n">
        <v>8400</v>
      </c>
      <c r="D17" s="0" t="n">
        <v>8373</v>
      </c>
      <c r="E17" s="6" t="n">
        <v>0.996785714285714</v>
      </c>
      <c r="F17" s="6" t="n">
        <v>0.995327290354414</v>
      </c>
      <c r="G17" s="6" t="n">
        <v>0.997789952597905</v>
      </c>
      <c r="H17" s="7" t="n">
        <v>1.293</v>
      </c>
      <c r="I17" s="7" t="n">
        <v>3.011</v>
      </c>
      <c r="J17" s="0" t="n">
        <v>7212</v>
      </c>
      <c r="K17" s="6" t="n">
        <v>0.138659978502329</v>
      </c>
      <c r="L17" s="6" t="n">
        <v>0.98889286993909</v>
      </c>
    </row>
    <row r="18" customFormat="false" ht="15" hidden="false" customHeight="false" outlineLevel="0" collapsed="false">
      <c r="A18" s="0" t="s">
        <v>63</v>
      </c>
      <c r="B18" s="0" t="s">
        <v>183</v>
      </c>
      <c r="C18" s="0" t="n">
        <v>8400</v>
      </c>
      <c r="D18" s="0" t="n">
        <v>8363</v>
      </c>
      <c r="E18" s="6" t="n">
        <v>0.995595238095238</v>
      </c>
      <c r="F18" s="6" t="n">
        <v>0.993934821016057</v>
      </c>
      <c r="G18" s="6" t="n">
        <v>0.996802557946441</v>
      </c>
      <c r="H18" s="7" t="n">
        <v>1.797</v>
      </c>
      <c r="I18" s="7" t="n">
        <v>3.332</v>
      </c>
      <c r="J18" s="0" t="n">
        <v>7211</v>
      </c>
      <c r="K18" s="6" t="n">
        <v>0.137749611383475</v>
      </c>
      <c r="L18" s="6" t="n">
        <v>0.987564271194547</v>
      </c>
    </row>
    <row r="19" customFormat="false" ht="15" hidden="false" customHeight="false" outlineLevel="0" collapsed="false">
      <c r="A19" s="0" t="s">
        <v>63</v>
      </c>
      <c r="B19" s="0" t="s">
        <v>184</v>
      </c>
      <c r="C19" s="0" t="n">
        <v>25200</v>
      </c>
      <c r="D19" s="0" t="n">
        <v>25126</v>
      </c>
      <c r="E19" s="6" t="n">
        <v>0.997063492063492</v>
      </c>
      <c r="F19" s="6" t="n">
        <v>0.996315410829063</v>
      </c>
      <c r="G19" s="6" t="n">
        <v>0.997660047261422</v>
      </c>
      <c r="H19" s="7" t="n">
        <v>1.451</v>
      </c>
      <c r="I19" s="7" t="n">
        <v>3</v>
      </c>
      <c r="J19" s="0" t="n">
        <v>19470</v>
      </c>
      <c r="K19" s="6" t="n">
        <v>0.225105468439067</v>
      </c>
      <c r="L19" s="6" t="n">
        <v>0.988537769641009</v>
      </c>
    </row>
    <row r="20" customFormat="false" ht="15" hidden="false" customHeight="false" outlineLevel="0" collapsed="false">
      <c r="A20" s="0" t="s">
        <v>77</v>
      </c>
      <c r="B20" s="0" t="s">
        <v>181</v>
      </c>
      <c r="C20" s="0" t="n">
        <v>8400</v>
      </c>
      <c r="D20" s="0" t="n">
        <v>8388</v>
      </c>
      <c r="E20" s="6" t="n">
        <v>0.998571428571429</v>
      </c>
      <c r="F20" s="6" t="n">
        <v>0.997504445972752</v>
      </c>
      <c r="G20" s="6" t="n">
        <v>0.999182592964298</v>
      </c>
      <c r="H20" s="7" t="n">
        <v>0.899</v>
      </c>
      <c r="I20" s="7" t="n">
        <v>1.535</v>
      </c>
      <c r="J20" s="0" t="n">
        <v>8318</v>
      </c>
      <c r="K20" s="6" t="n">
        <v>0.00834525512637097</v>
      </c>
      <c r="L20" s="6" t="n">
        <v>0.999046256556986</v>
      </c>
    </row>
    <row r="21" customFormat="false" ht="15" hidden="false" customHeight="false" outlineLevel="0" collapsed="false">
      <c r="A21" s="0" t="s">
        <v>77</v>
      </c>
      <c r="B21" s="0" t="s">
        <v>182</v>
      </c>
      <c r="C21" s="0" t="n">
        <v>8400</v>
      </c>
      <c r="D21" s="0" t="n">
        <v>8373</v>
      </c>
      <c r="E21" s="6" t="n">
        <v>0.996785714285714</v>
      </c>
      <c r="F21" s="6" t="n">
        <v>0.995327290354414</v>
      </c>
      <c r="G21" s="6" t="n">
        <v>0.997789952597905</v>
      </c>
      <c r="H21" s="7" t="n">
        <v>0.71</v>
      </c>
      <c r="I21" s="7" t="n">
        <v>1.496</v>
      </c>
      <c r="J21" s="0" t="n">
        <v>8320</v>
      </c>
      <c r="K21" s="6" t="n">
        <v>0.00632986981965844</v>
      </c>
      <c r="L21" s="6" t="n">
        <v>0.998089095903499</v>
      </c>
    </row>
    <row r="22" customFormat="false" ht="15" hidden="false" customHeight="false" outlineLevel="0" collapsed="false">
      <c r="A22" s="0" t="s">
        <v>77</v>
      </c>
      <c r="B22" s="0" t="s">
        <v>183</v>
      </c>
      <c r="C22" s="0" t="n">
        <v>8400</v>
      </c>
      <c r="D22" s="0" t="n">
        <v>8330</v>
      </c>
      <c r="E22" s="6" t="n">
        <v>0.991666666666667</v>
      </c>
      <c r="F22" s="6" t="n">
        <v>0.989485351089091</v>
      </c>
      <c r="G22" s="6" t="n">
        <v>0.993398476706997</v>
      </c>
      <c r="H22" s="7" t="n">
        <v>1.3335</v>
      </c>
      <c r="I22" s="7" t="n">
        <v>2.081</v>
      </c>
      <c r="J22" s="0" t="n">
        <v>8268</v>
      </c>
      <c r="K22" s="6" t="n">
        <v>0.00744297719087639</v>
      </c>
      <c r="L22" s="6" t="n">
        <v>0.998199279711885</v>
      </c>
    </row>
    <row r="23" customFormat="false" ht="15" hidden="false" customHeight="false" outlineLevel="0" collapsed="false">
      <c r="A23" s="0" t="s">
        <v>77</v>
      </c>
      <c r="B23" s="0" t="s">
        <v>184</v>
      </c>
      <c r="C23" s="0" t="n">
        <v>25200</v>
      </c>
      <c r="D23" s="0" t="n">
        <v>25091</v>
      </c>
      <c r="E23" s="6" t="n">
        <v>0.995674603174603</v>
      </c>
      <c r="F23" s="6" t="n">
        <v>0.994785332885494</v>
      </c>
      <c r="G23" s="6" t="n">
        <v>0.996412770819458</v>
      </c>
      <c r="H23" s="7" t="n">
        <v>1.003</v>
      </c>
      <c r="I23" s="7" t="n">
        <v>1.811</v>
      </c>
      <c r="J23" s="0" t="n">
        <v>24545</v>
      </c>
      <c r="K23" s="6" t="n">
        <v>0.0217607907217727</v>
      </c>
      <c r="L23" s="6" t="n">
        <v>0.998445657805588</v>
      </c>
    </row>
    <row r="24" customFormat="false" ht="15" hidden="false" customHeight="false" outlineLevel="0" collapsed="false">
      <c r="A24" s="0" t="s">
        <v>91</v>
      </c>
      <c r="B24" s="0" t="s">
        <v>181</v>
      </c>
      <c r="C24" s="0" t="n">
        <v>8400</v>
      </c>
      <c r="D24" s="0" t="n">
        <v>8362</v>
      </c>
      <c r="E24" s="6" t="n">
        <v>0.995476190476191</v>
      </c>
      <c r="F24" s="6" t="n">
        <v>0.993797151002342</v>
      </c>
      <c r="G24" s="6" t="n">
        <v>0.996702241561173</v>
      </c>
      <c r="H24" s="7" t="n">
        <v>0.735</v>
      </c>
      <c r="I24" s="7" t="n">
        <v>1.625</v>
      </c>
      <c r="J24" s="0" t="n">
        <v>8167</v>
      </c>
      <c r="K24" s="6" t="n">
        <v>0.0233197799569481</v>
      </c>
      <c r="L24" s="6" t="n">
        <v>0.997249461851232</v>
      </c>
    </row>
    <row r="25" customFormat="false" ht="15" hidden="false" customHeight="false" outlineLevel="0" collapsed="false">
      <c r="A25" s="0" t="s">
        <v>91</v>
      </c>
      <c r="B25" s="0" t="s">
        <v>182</v>
      </c>
      <c r="C25" s="0" t="n">
        <v>8400</v>
      </c>
      <c r="D25" s="0" t="n">
        <v>8359</v>
      </c>
      <c r="E25" s="6" t="n">
        <v>0.995119047619048</v>
      </c>
      <c r="F25" s="6" t="n">
        <v>0.993385554740457</v>
      </c>
      <c r="G25" s="6" t="n">
        <v>0.996399878626112</v>
      </c>
      <c r="H25" s="7" t="n">
        <v>0.643</v>
      </c>
      <c r="I25" s="7" t="n">
        <v>1.854</v>
      </c>
      <c r="J25" s="0" t="n">
        <v>8168</v>
      </c>
      <c r="K25" s="6" t="n">
        <v>0.0228496231606652</v>
      </c>
      <c r="L25" s="6" t="n">
        <v>0.995812896279459</v>
      </c>
    </row>
    <row r="26" customFormat="false" ht="15" hidden="false" customHeight="false" outlineLevel="0" collapsed="false">
      <c r="A26" s="0" t="s">
        <v>91</v>
      </c>
      <c r="B26" s="0" t="s">
        <v>183</v>
      </c>
      <c r="C26" s="0" t="n">
        <v>8400</v>
      </c>
      <c r="D26" s="0" t="n">
        <v>8371</v>
      </c>
      <c r="E26" s="6" t="n">
        <v>0.996547619047619</v>
      </c>
      <c r="F26" s="6" t="n">
        <v>0.995046178161816</v>
      </c>
      <c r="G26" s="6" t="n">
        <v>0.997595091992538</v>
      </c>
      <c r="H26" s="7" t="n">
        <v>1.184</v>
      </c>
      <c r="I26" s="7" t="n">
        <v>1.909</v>
      </c>
      <c r="J26" s="0" t="n">
        <v>8113</v>
      </c>
      <c r="K26" s="6" t="n">
        <v>0.0308206904790348</v>
      </c>
      <c r="L26" s="6" t="n">
        <v>0.997730259228288</v>
      </c>
    </row>
    <row r="27" customFormat="false" ht="15" hidden="false" customHeight="false" outlineLevel="0" collapsed="false">
      <c r="A27" s="0" t="s">
        <v>91</v>
      </c>
      <c r="B27" s="0" t="s">
        <v>184</v>
      </c>
      <c r="C27" s="0" t="n">
        <v>25200</v>
      </c>
      <c r="D27" s="0" t="n">
        <v>25092</v>
      </c>
      <c r="E27" s="6" t="n">
        <v>0.995714285714286</v>
      </c>
      <c r="F27" s="6" t="n">
        <v>0.994828701742588</v>
      </c>
      <c r="G27" s="6" t="n">
        <v>0.996448754944809</v>
      </c>
      <c r="H27" s="7" t="n">
        <v>0.833</v>
      </c>
      <c r="I27" s="7" t="n">
        <v>1.83</v>
      </c>
      <c r="J27" s="0" t="n">
        <v>23738</v>
      </c>
      <c r="K27" s="6" t="n">
        <v>0.0539614219671608</v>
      </c>
      <c r="L27" s="6" t="n">
        <v>0.99693129284234</v>
      </c>
    </row>
    <row r="28" customFormat="false" ht="15" hidden="false" customHeight="false" outlineLevel="0" collapsed="false">
      <c r="A28" s="0" t="s">
        <v>102</v>
      </c>
      <c r="B28" s="0" t="s">
        <v>181</v>
      </c>
      <c r="C28" s="0" t="n">
        <v>8400</v>
      </c>
      <c r="D28" s="0" t="n">
        <v>8386</v>
      </c>
      <c r="E28" s="6" t="n">
        <v>0.998333333333333</v>
      </c>
      <c r="F28" s="6" t="n">
        <v>0.997204146935596</v>
      </c>
      <c r="G28" s="6" t="n">
        <v>0.999006919203489</v>
      </c>
      <c r="H28" s="7" t="n">
        <v>0.6425</v>
      </c>
      <c r="I28" s="7" t="n">
        <v>1.348</v>
      </c>
      <c r="J28" s="0" t="n">
        <v>8142</v>
      </c>
      <c r="K28" s="6" t="n">
        <v>0.0290961125685667</v>
      </c>
      <c r="L28" s="6" t="n">
        <v>0.993441450035774</v>
      </c>
    </row>
    <row r="29" customFormat="false" ht="15" hidden="false" customHeight="false" outlineLevel="0" collapsed="false">
      <c r="A29" s="0" t="s">
        <v>102</v>
      </c>
      <c r="B29" s="0" t="s">
        <v>182</v>
      </c>
      <c r="C29" s="0" t="n">
        <v>8400</v>
      </c>
      <c r="D29" s="0" t="n">
        <v>8381</v>
      </c>
      <c r="E29" s="6" t="n">
        <v>0.997738095238095</v>
      </c>
      <c r="F29" s="6" t="n">
        <v>0.996469701136496</v>
      </c>
      <c r="G29" s="6" t="n">
        <v>0.99855143300768</v>
      </c>
      <c r="H29" s="7" t="n">
        <v>0.562</v>
      </c>
      <c r="I29" s="7" t="n">
        <v>1.236</v>
      </c>
      <c r="J29" s="0" t="n">
        <v>8121</v>
      </c>
      <c r="K29" s="6" t="n">
        <v>0.0310225510082329</v>
      </c>
      <c r="L29" s="6" t="n">
        <v>0.99236367975182</v>
      </c>
    </row>
    <row r="30" customFormat="false" ht="15" hidden="false" customHeight="false" outlineLevel="0" collapsed="false">
      <c r="A30" s="0" t="s">
        <v>102</v>
      </c>
      <c r="B30" s="0" t="s">
        <v>183</v>
      </c>
      <c r="C30" s="0" t="n">
        <v>8400</v>
      </c>
      <c r="D30" s="0" t="n">
        <v>8385</v>
      </c>
      <c r="E30" s="6" t="n">
        <v>0.998214285714286</v>
      </c>
      <c r="F30" s="6" t="n">
        <v>0.99705557056262</v>
      </c>
      <c r="G30" s="6" t="n">
        <v>0.998917509177484</v>
      </c>
      <c r="H30" s="7" t="n">
        <v>0.802</v>
      </c>
      <c r="I30" s="7" t="n">
        <v>1.501</v>
      </c>
      <c r="J30" s="0" t="n">
        <v>8130</v>
      </c>
      <c r="K30" s="6" t="n">
        <v>0.0304114490161002</v>
      </c>
      <c r="L30" s="6" t="n">
        <v>0.992844364937388</v>
      </c>
    </row>
    <row r="31" customFormat="false" ht="15" hidden="false" customHeight="false" outlineLevel="0" collapsed="false">
      <c r="A31" s="0" t="s">
        <v>102</v>
      </c>
      <c r="B31" s="0" t="s">
        <v>184</v>
      </c>
      <c r="C31" s="0" t="n">
        <v>25200</v>
      </c>
      <c r="D31" s="0" t="n">
        <v>25152</v>
      </c>
      <c r="E31" s="6" t="n">
        <v>0.998095238095238</v>
      </c>
      <c r="F31" s="6" t="n">
        <v>0.997475684670214</v>
      </c>
      <c r="G31" s="6" t="n">
        <v>0.998562950963807</v>
      </c>
      <c r="H31" s="7" t="n">
        <v>0.721</v>
      </c>
      <c r="I31" s="7" t="n">
        <v>1.374</v>
      </c>
      <c r="J31" s="0" t="n">
        <v>22866</v>
      </c>
      <c r="K31" s="6" t="n">
        <v>0.0908874045801527</v>
      </c>
      <c r="L31" s="6" t="n">
        <v>0.992883269720102</v>
      </c>
    </row>
    <row r="32" customFormat="false" ht="15" hidden="false" customHeight="false" outlineLevel="0" collapsed="false">
      <c r="A32" s="0" t="s">
        <v>115</v>
      </c>
      <c r="B32" s="0" t="s">
        <v>181</v>
      </c>
      <c r="C32" s="0" t="n">
        <v>8400</v>
      </c>
      <c r="D32" s="0" t="n">
        <v>8363</v>
      </c>
      <c r="E32" s="6" t="n">
        <v>0.995595238095238</v>
      </c>
      <c r="F32" s="6" t="n">
        <v>0.993934821016057</v>
      </c>
      <c r="G32" s="6" t="n">
        <v>0.996802557946441</v>
      </c>
      <c r="H32" s="7" t="n">
        <v>1.003</v>
      </c>
      <c r="I32" s="7" t="n">
        <v>1.747</v>
      </c>
      <c r="J32" s="0" t="n">
        <v>8153</v>
      </c>
      <c r="K32" s="6" t="n">
        <v>0.0251106062417793</v>
      </c>
      <c r="L32" s="6" t="n">
        <v>0.998086810953007</v>
      </c>
    </row>
    <row r="33" customFormat="false" ht="15" hidden="false" customHeight="false" outlineLevel="0" collapsed="false">
      <c r="A33" s="0" t="s">
        <v>115</v>
      </c>
      <c r="B33" s="0" t="s">
        <v>182</v>
      </c>
      <c r="C33" s="0" t="n">
        <v>8400</v>
      </c>
      <c r="D33" s="0" t="n">
        <v>8361</v>
      </c>
      <c r="E33" s="6" t="n">
        <v>0.995357142857143</v>
      </c>
      <c r="F33" s="6" t="n">
        <v>0.993659722507643</v>
      </c>
      <c r="G33" s="6" t="n">
        <v>0.99660168365689</v>
      </c>
      <c r="H33" s="7" t="n">
        <v>0.64</v>
      </c>
      <c r="I33" s="7" t="n">
        <v>1.462</v>
      </c>
      <c r="J33" s="0" t="n">
        <v>8053</v>
      </c>
      <c r="K33" s="6" t="n">
        <v>0.0368376988398517</v>
      </c>
      <c r="L33" s="6" t="n">
        <v>0.997488338715465</v>
      </c>
    </row>
    <row r="34" customFormat="false" ht="15" hidden="false" customHeight="false" outlineLevel="0" collapsed="false">
      <c r="A34" s="0" t="s">
        <v>115</v>
      </c>
      <c r="B34" s="0" t="s">
        <v>183</v>
      </c>
      <c r="C34" s="0" t="n">
        <v>8400</v>
      </c>
      <c r="D34" s="0" t="n">
        <v>8374</v>
      </c>
      <c r="E34" s="6" t="n">
        <v>0.996904761904762</v>
      </c>
      <c r="F34" s="6" t="n">
        <v>0.995468431126374</v>
      </c>
      <c r="G34" s="6" t="n">
        <v>0.997886798224927</v>
      </c>
      <c r="H34" s="7" t="n">
        <v>1.133</v>
      </c>
      <c r="I34" s="7" t="n">
        <v>1.78</v>
      </c>
      <c r="J34" s="0" t="n">
        <v>8139</v>
      </c>
      <c r="K34" s="6" t="n">
        <v>0.0280630523047528</v>
      </c>
      <c r="L34" s="6" t="n">
        <v>0.99773107236685</v>
      </c>
    </row>
    <row r="35" customFormat="false" ht="15" hidden="false" customHeight="false" outlineLevel="0" collapsed="false">
      <c r="A35" s="0" t="s">
        <v>115</v>
      </c>
      <c r="B35" s="0" t="s">
        <v>184</v>
      </c>
      <c r="C35" s="0" t="n">
        <v>25200</v>
      </c>
      <c r="D35" s="0" t="n">
        <v>25098</v>
      </c>
      <c r="E35" s="6" t="n">
        <v>0.995952380952381</v>
      </c>
      <c r="F35" s="6" t="n">
        <v>0.995089284758364</v>
      </c>
      <c r="G35" s="6" t="n">
        <v>0.996664289823695</v>
      </c>
      <c r="H35" s="7" t="n">
        <v>0.91</v>
      </c>
      <c r="I35" s="7" t="n">
        <v>1.713</v>
      </c>
      <c r="J35" s="0" t="n">
        <v>23411</v>
      </c>
      <c r="K35" s="6" t="n">
        <v>0.0672165112757989</v>
      </c>
      <c r="L35" s="6" t="n">
        <v>0.997768746513666</v>
      </c>
    </row>
    <row r="36" customFormat="false" ht="15" hidden="false" customHeight="false" outlineLevel="0" collapsed="false">
      <c r="A36" s="0" t="s">
        <v>129</v>
      </c>
      <c r="B36" s="0" t="s">
        <v>181</v>
      </c>
      <c r="C36" s="0" t="n">
        <v>8400</v>
      </c>
      <c r="D36" s="0" t="n">
        <v>8398</v>
      </c>
      <c r="E36" s="6" t="n">
        <v>0.999761904761905</v>
      </c>
      <c r="F36" s="6" t="n">
        <v>0.999132198290686</v>
      </c>
      <c r="G36" s="6" t="n">
        <v>0.999934704636185</v>
      </c>
      <c r="H36" s="7" t="n">
        <v>0.941</v>
      </c>
      <c r="I36" s="7" t="n">
        <v>1.562</v>
      </c>
      <c r="J36" s="0" t="n">
        <v>8341</v>
      </c>
      <c r="K36" s="6" t="n">
        <v>0.00678733031674206</v>
      </c>
      <c r="L36" s="6" t="n">
        <v>0.998094784472493</v>
      </c>
    </row>
    <row r="37" customFormat="false" ht="15" hidden="false" customHeight="false" outlineLevel="0" collapsed="false">
      <c r="A37" s="0" t="s">
        <v>129</v>
      </c>
      <c r="B37" s="0" t="s">
        <v>182</v>
      </c>
      <c r="C37" s="0" t="n">
        <v>8400</v>
      </c>
      <c r="D37" s="0" t="n">
        <v>8394</v>
      </c>
      <c r="E37" s="6" t="n">
        <v>0.999285714285714</v>
      </c>
      <c r="F37" s="6" t="n">
        <v>0.998442356229626</v>
      </c>
      <c r="G37" s="6" t="n">
        <v>0.999672601101316</v>
      </c>
      <c r="H37" s="7" t="n">
        <v>0.541</v>
      </c>
      <c r="I37" s="7" t="n">
        <v>1.304</v>
      </c>
      <c r="J37" s="0" t="n">
        <v>8318</v>
      </c>
      <c r="K37" s="6" t="n">
        <v>0.00905408625208481</v>
      </c>
      <c r="L37" s="6" t="n">
        <v>0.998332142006195</v>
      </c>
    </row>
    <row r="38" customFormat="false" ht="15" hidden="false" customHeight="false" outlineLevel="0" collapsed="false">
      <c r="A38" s="0" t="s">
        <v>129</v>
      </c>
      <c r="B38" s="0" t="s">
        <v>183</v>
      </c>
      <c r="C38" s="0" t="n">
        <v>8400</v>
      </c>
      <c r="D38" s="0" t="n">
        <v>8392</v>
      </c>
      <c r="E38" s="6" t="n">
        <v>0.999047619047619</v>
      </c>
      <c r="F38" s="6" t="n">
        <v>0.998121650124158</v>
      </c>
      <c r="G38" s="6" t="n">
        <v>0.999517334408821</v>
      </c>
      <c r="H38" s="7" t="n">
        <v>0.799</v>
      </c>
      <c r="I38" s="7" t="n">
        <v>1.327</v>
      </c>
      <c r="J38" s="0" t="n">
        <v>8327</v>
      </c>
      <c r="K38" s="6" t="n">
        <v>0.00774547187797903</v>
      </c>
      <c r="L38" s="6" t="n">
        <v>0.998331744518589</v>
      </c>
    </row>
    <row r="39" customFormat="false" ht="15" hidden="false" customHeight="false" outlineLevel="0" collapsed="false">
      <c r="A39" s="0" t="s">
        <v>129</v>
      </c>
      <c r="B39" s="0" t="s">
        <v>184</v>
      </c>
      <c r="C39" s="0" t="n">
        <v>25200</v>
      </c>
      <c r="D39" s="0" t="n">
        <v>25184</v>
      </c>
      <c r="E39" s="6" t="n">
        <v>0.999365079365079</v>
      </c>
      <c r="F39" s="6" t="n">
        <v>0.9989687980161</v>
      </c>
      <c r="G39" s="6" t="n">
        <v>0.999609133056121</v>
      </c>
      <c r="H39" s="7" t="n">
        <v>0.79</v>
      </c>
      <c r="I39" s="7" t="n">
        <v>1.41</v>
      </c>
      <c r="J39" s="0" t="n">
        <v>24618</v>
      </c>
      <c r="K39" s="6" t="n">
        <v>0.0224745870393901</v>
      </c>
      <c r="L39" s="6" t="n">
        <v>0.998252858958069</v>
      </c>
    </row>
    <row r="40" customFormat="false" ht="15" hidden="false" customHeight="false" outlineLevel="0" collapsed="false">
      <c r="A40" s="0" t="s">
        <v>141</v>
      </c>
      <c r="B40" s="0" t="s">
        <v>181</v>
      </c>
      <c r="C40" s="0" t="n">
        <v>8400</v>
      </c>
      <c r="D40" s="0" t="n">
        <v>8387</v>
      </c>
      <c r="E40" s="6" t="n">
        <v>0.998452380952381</v>
      </c>
      <c r="F40" s="6" t="n">
        <v>0.99735373517902</v>
      </c>
      <c r="G40" s="6" t="n">
        <v>0.999095317359048</v>
      </c>
      <c r="H40" s="7" t="n">
        <v>0.413</v>
      </c>
      <c r="I40" s="7" t="n">
        <v>0.826</v>
      </c>
      <c r="J40" s="0" t="n">
        <v>8255</v>
      </c>
      <c r="K40" s="6" t="n">
        <v>0.0157386431381901</v>
      </c>
      <c r="L40" s="6" t="n">
        <v>0.996423035650411</v>
      </c>
    </row>
    <row r="41" customFormat="false" ht="15" hidden="false" customHeight="false" outlineLevel="0" collapsed="false">
      <c r="A41" s="0" t="s">
        <v>141</v>
      </c>
      <c r="B41" s="0" t="s">
        <v>182</v>
      </c>
      <c r="C41" s="0" t="n">
        <v>8400</v>
      </c>
      <c r="D41" s="0" t="n">
        <v>8387</v>
      </c>
      <c r="E41" s="6" t="n">
        <v>0.998452380952381</v>
      </c>
      <c r="F41" s="6" t="n">
        <v>0.99735373517902</v>
      </c>
      <c r="G41" s="6" t="n">
        <v>0.999095317359048</v>
      </c>
      <c r="H41" s="7" t="n">
        <v>0.384</v>
      </c>
      <c r="I41" s="7" t="n">
        <v>1.073</v>
      </c>
      <c r="J41" s="0" t="n">
        <v>8270</v>
      </c>
      <c r="K41" s="6" t="n">
        <v>0.0139501609633957</v>
      </c>
      <c r="L41" s="6" t="n">
        <v>0.995707642780494</v>
      </c>
    </row>
    <row r="42" customFormat="false" ht="15" hidden="false" customHeight="false" outlineLevel="0" collapsed="false">
      <c r="A42" s="0" t="s">
        <v>141</v>
      </c>
      <c r="B42" s="0" t="s">
        <v>183</v>
      </c>
      <c r="C42" s="0" t="n">
        <v>8400</v>
      </c>
      <c r="D42" s="0" t="n">
        <v>8389</v>
      </c>
      <c r="E42" s="6" t="n">
        <v>0.998690476190476</v>
      </c>
      <c r="F42" s="6" t="n">
        <v>0.997656411812628</v>
      </c>
      <c r="G42" s="6" t="n">
        <v>0.999268613523404</v>
      </c>
      <c r="H42" s="7" t="n">
        <v>0.972</v>
      </c>
      <c r="I42" s="7" t="n">
        <v>1.653</v>
      </c>
      <c r="J42" s="0" t="n">
        <v>8269</v>
      </c>
      <c r="K42" s="6" t="n">
        <v>0.0143044462987245</v>
      </c>
      <c r="L42" s="6" t="n">
        <v>0.995947073548695</v>
      </c>
    </row>
    <row r="43" customFormat="false" ht="15" hidden="false" customHeight="false" outlineLevel="0" collapsed="false">
      <c r="A43" s="0" t="s">
        <v>141</v>
      </c>
      <c r="B43" s="0" t="s">
        <v>184</v>
      </c>
      <c r="C43" s="0" t="n">
        <v>25200</v>
      </c>
      <c r="D43" s="0" t="n">
        <v>25163</v>
      </c>
      <c r="E43" s="6" t="n">
        <v>0.998531746031746</v>
      </c>
      <c r="F43" s="6" t="n">
        <v>0.997976970692025</v>
      </c>
      <c r="G43" s="6" t="n">
        <v>0.998934547748878</v>
      </c>
      <c r="H43" s="7" t="n">
        <v>0.677</v>
      </c>
      <c r="I43" s="7" t="n">
        <v>1.441</v>
      </c>
      <c r="J43" s="0" t="n">
        <v>23867</v>
      </c>
      <c r="K43" s="6" t="n">
        <v>0.0515041926638318</v>
      </c>
      <c r="L43" s="6" t="n">
        <v>0.99602591105989</v>
      </c>
    </row>
    <row r="44" customFormat="false" ht="15" hidden="false" customHeight="false" outlineLevel="0" collapsed="false">
      <c r="A44" s="0" t="s">
        <v>152</v>
      </c>
      <c r="B44" s="0" t="s">
        <v>181</v>
      </c>
      <c r="C44" s="0" t="n">
        <v>8400</v>
      </c>
      <c r="D44" s="0" t="n">
        <v>8138</v>
      </c>
      <c r="E44" s="6" t="n">
        <v>0.968809523809524</v>
      </c>
      <c r="F44" s="6" t="n">
        <v>0.964872433181905</v>
      </c>
      <c r="G44" s="6" t="n">
        <v>0.972318006009619</v>
      </c>
      <c r="H44" s="7" t="n">
        <v>1.09</v>
      </c>
      <c r="I44" s="7" t="n">
        <v>3.69</v>
      </c>
      <c r="J44" s="0" t="n">
        <v>7952</v>
      </c>
      <c r="K44" s="6" t="n">
        <v>0.0228557385106906</v>
      </c>
      <c r="L44" s="6" t="n">
        <v>0.993241582698452</v>
      </c>
    </row>
    <row r="45" customFormat="false" ht="15" hidden="false" customHeight="false" outlineLevel="0" collapsed="false">
      <c r="A45" s="0" t="s">
        <v>152</v>
      </c>
      <c r="B45" s="0" t="s">
        <v>182</v>
      </c>
      <c r="C45" s="0" t="n">
        <v>8400</v>
      </c>
      <c r="D45" s="0" t="n">
        <v>8180</v>
      </c>
      <c r="E45" s="6" t="n">
        <v>0.973809523809524</v>
      </c>
      <c r="F45" s="6" t="n">
        <v>0.9701715814203</v>
      </c>
      <c r="G45" s="6" t="n">
        <v>0.977014286528472</v>
      </c>
      <c r="H45" s="7" t="n">
        <v>0.8065</v>
      </c>
      <c r="I45" s="7" t="n">
        <v>3.28</v>
      </c>
      <c r="J45" s="0" t="n">
        <v>7982</v>
      </c>
      <c r="K45" s="6" t="n">
        <v>0.0242053789731052</v>
      </c>
      <c r="L45" s="6" t="n">
        <v>0.9940097799511</v>
      </c>
    </row>
    <row r="46" customFormat="false" ht="15" hidden="false" customHeight="false" outlineLevel="0" collapsed="false">
      <c r="A46" s="0" t="s">
        <v>152</v>
      </c>
      <c r="B46" s="0" t="s">
        <v>183</v>
      </c>
      <c r="C46" s="0" t="n">
        <v>8400</v>
      </c>
      <c r="D46" s="0" t="n">
        <v>8141</v>
      </c>
      <c r="E46" s="6" t="n">
        <v>0.969166666666667</v>
      </c>
      <c r="F46" s="6" t="n">
        <v>0.965250027407456</v>
      </c>
      <c r="G46" s="6" t="n">
        <v>0.972654370981015</v>
      </c>
      <c r="H46" s="7" t="n">
        <v>1.368</v>
      </c>
      <c r="I46" s="7" t="n">
        <v>3.958</v>
      </c>
      <c r="J46" s="0" t="n">
        <v>7956</v>
      </c>
      <c r="K46" s="6" t="n">
        <v>0.0227244810219874</v>
      </c>
      <c r="L46" s="6" t="n">
        <v>0.993121238177128</v>
      </c>
    </row>
    <row r="47" customFormat="false" ht="15" hidden="false" customHeight="false" outlineLevel="0" collapsed="false">
      <c r="A47" s="0" t="s">
        <v>152</v>
      </c>
      <c r="B47" s="0" t="s">
        <v>184</v>
      </c>
      <c r="C47" s="0" t="n">
        <v>25200</v>
      </c>
      <c r="D47" s="0" t="n">
        <v>24459</v>
      </c>
      <c r="E47" s="6" t="n">
        <v>0.970595238095238</v>
      </c>
      <c r="F47" s="6" t="n">
        <v>0.968436582262382</v>
      </c>
      <c r="G47" s="6" t="n">
        <v>0.972610436538117</v>
      </c>
      <c r="H47" s="7" t="n">
        <v>1.094</v>
      </c>
      <c r="I47" s="7" t="n">
        <v>3.666</v>
      </c>
      <c r="J47" s="0" t="n">
        <v>22836</v>
      </c>
      <c r="K47" s="6" t="n">
        <v>0.0663559425978167</v>
      </c>
      <c r="L47" s="6" t="n">
        <v>0.993458440655791</v>
      </c>
    </row>
    <row r="48" customFormat="false" ht="15" hidden="false" customHeight="false" outlineLevel="0" collapsed="false">
      <c r="A48" s="0" t="s">
        <v>163</v>
      </c>
      <c r="B48" s="0" t="s">
        <v>181</v>
      </c>
      <c r="C48" s="0" t="n">
        <v>8400</v>
      </c>
      <c r="D48" s="0" t="n">
        <v>8325</v>
      </c>
      <c r="E48" s="6" t="n">
        <v>0.991071428571429</v>
      </c>
      <c r="F48" s="6" t="n">
        <v>0.988823234322342</v>
      </c>
      <c r="G48" s="6" t="n">
        <v>0.992870661478835</v>
      </c>
      <c r="H48" s="7" t="n">
        <v>1.207</v>
      </c>
      <c r="I48" s="7" t="n">
        <v>3.465</v>
      </c>
      <c r="J48" s="0" t="n">
        <v>8110</v>
      </c>
      <c r="K48" s="6" t="n">
        <v>0.0258258258258258</v>
      </c>
      <c r="L48" s="6" t="n">
        <v>0.994474474474475</v>
      </c>
    </row>
    <row r="49" customFormat="false" ht="15" hidden="false" customHeight="false" outlineLevel="0" collapsed="false">
      <c r="A49" s="0" t="s">
        <v>163</v>
      </c>
      <c r="B49" s="0" t="s">
        <v>182</v>
      </c>
      <c r="C49" s="0" t="n">
        <v>8400</v>
      </c>
      <c r="D49" s="0" t="n">
        <v>8370</v>
      </c>
      <c r="E49" s="6" t="n">
        <v>0.996428571428571</v>
      </c>
      <c r="F49" s="6" t="n">
        <v>0.994906167813373</v>
      </c>
      <c r="G49" s="6" t="n">
        <v>0.997497115941999</v>
      </c>
      <c r="H49" s="7" t="n">
        <v>0.921</v>
      </c>
      <c r="I49" s="7" t="n">
        <v>3.11</v>
      </c>
      <c r="J49" s="0" t="n">
        <v>8156</v>
      </c>
      <c r="K49" s="6" t="n">
        <v>0.0255675029868578</v>
      </c>
      <c r="L49" s="6" t="n">
        <v>0.995937873357228</v>
      </c>
    </row>
    <row r="50" customFormat="false" ht="15" hidden="false" customHeight="false" outlineLevel="0" collapsed="false">
      <c r="A50" s="0" t="s">
        <v>163</v>
      </c>
      <c r="B50" s="0" t="s">
        <v>183</v>
      </c>
      <c r="C50" s="0" t="n">
        <v>8400</v>
      </c>
      <c r="D50" s="0" t="n">
        <v>8368</v>
      </c>
      <c r="E50" s="6" t="n">
        <v>0.996190476190476</v>
      </c>
      <c r="F50" s="6" t="n">
        <v>0.994627152787964</v>
      </c>
      <c r="G50" s="6" t="n">
        <v>0.997300158169444</v>
      </c>
      <c r="H50" s="7" t="n">
        <v>1.378</v>
      </c>
      <c r="I50" s="7" t="n">
        <v>2.952</v>
      </c>
      <c r="J50" s="0" t="n">
        <v>8161</v>
      </c>
      <c r="K50" s="6" t="n">
        <v>0.0247370936902486</v>
      </c>
      <c r="L50" s="6" t="n">
        <v>0.996653919694073</v>
      </c>
    </row>
    <row r="51" customFormat="false" ht="15" hidden="false" customHeight="false" outlineLevel="0" collapsed="false">
      <c r="A51" s="0" t="s">
        <v>163</v>
      </c>
      <c r="B51" s="0" t="s">
        <v>184</v>
      </c>
      <c r="C51" s="0" t="n">
        <v>25200</v>
      </c>
      <c r="D51" s="0" t="n">
        <v>25063</v>
      </c>
      <c r="E51" s="6" t="n">
        <v>0.994563492063492</v>
      </c>
      <c r="F51" s="6" t="n">
        <v>0.993577167373253</v>
      </c>
      <c r="G51" s="6" t="n">
        <v>0.995399052823274</v>
      </c>
      <c r="H51" s="7" t="n">
        <v>1.233</v>
      </c>
      <c r="I51" s="7" t="n">
        <v>3.136</v>
      </c>
      <c r="J51" s="0" t="n">
        <v>23316</v>
      </c>
      <c r="K51" s="6" t="n">
        <v>0.0697043450504729</v>
      </c>
      <c r="L51" s="6" t="n">
        <v>0.995690859035231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4" min="3" style="0" width="16"/>
  </cols>
  <sheetData>
    <row r="1" customFormat="false" ht="45" hidden="false" customHeight="true" outlineLevel="0" collapsed="false">
      <c r="A1" s="2" t="s">
        <v>1</v>
      </c>
      <c r="B1" s="2" t="s">
        <v>185</v>
      </c>
      <c r="C1" s="2" t="s">
        <v>186</v>
      </c>
      <c r="D1" s="2" t="s">
        <v>187</v>
      </c>
    </row>
    <row r="2" customFormat="false" ht="15" hidden="false" customHeight="false" outlineLevel="0" collapsed="false">
      <c r="A2" s="0" t="s">
        <v>18</v>
      </c>
      <c r="B2" s="0" t="s">
        <v>188</v>
      </c>
      <c r="C2" s="0" t="n">
        <v>36</v>
      </c>
      <c r="D2" s="6" t="n">
        <v>0.00142857142857143</v>
      </c>
    </row>
    <row r="3" customFormat="false" ht="15" hidden="false" customHeight="false" outlineLevel="0" collapsed="false">
      <c r="A3" s="0" t="s">
        <v>18</v>
      </c>
      <c r="B3" s="0" t="s">
        <v>189</v>
      </c>
      <c r="C3" s="0" t="n">
        <v>20</v>
      </c>
      <c r="D3" s="6" t="n">
        <v>0.000793650793650794</v>
      </c>
    </row>
    <row r="4" customFormat="false" ht="15" hidden="false" customHeight="false" outlineLevel="0" collapsed="false">
      <c r="A4" s="0" t="s">
        <v>18</v>
      </c>
      <c r="B4" s="0" t="s">
        <v>190</v>
      </c>
      <c r="C4" s="0" t="n">
        <v>17</v>
      </c>
      <c r="D4" s="6" t="n">
        <v>0.000674603174603175</v>
      </c>
    </row>
    <row r="5" customFormat="false" ht="15" hidden="false" customHeight="false" outlineLevel="0" collapsed="false">
      <c r="A5" s="0" t="s">
        <v>18</v>
      </c>
      <c r="B5" s="0" t="s">
        <v>191</v>
      </c>
      <c r="C5" s="0" t="n">
        <v>2</v>
      </c>
      <c r="D5" s="6" t="n">
        <v>7.93650793650794E-005</v>
      </c>
    </row>
    <row r="6" customFormat="false" ht="15" hidden="false" customHeight="false" outlineLevel="0" collapsed="false">
      <c r="A6" s="0" t="s">
        <v>129</v>
      </c>
      <c r="B6" s="0" t="s">
        <v>190</v>
      </c>
      <c r="C6" s="0" t="n">
        <v>6</v>
      </c>
      <c r="D6" s="6" t="n">
        <v>0.000238095238095238</v>
      </c>
    </row>
    <row r="7" customFormat="false" ht="15" hidden="false" customHeight="false" outlineLevel="0" collapsed="false">
      <c r="A7" s="0" t="s">
        <v>129</v>
      </c>
      <c r="B7" s="0" t="s">
        <v>189</v>
      </c>
      <c r="C7" s="0" t="n">
        <v>6</v>
      </c>
      <c r="D7" s="6" t="n">
        <v>0.000238095238095238</v>
      </c>
    </row>
    <row r="8" customFormat="false" ht="15" hidden="false" customHeight="false" outlineLevel="0" collapsed="false">
      <c r="A8" s="0" t="s">
        <v>129</v>
      </c>
      <c r="B8" s="0" t="s">
        <v>188</v>
      </c>
      <c r="C8" s="0" t="n">
        <v>3</v>
      </c>
      <c r="D8" s="6" t="n">
        <v>0.000119047619047619</v>
      </c>
    </row>
    <row r="9" customFormat="false" ht="15" hidden="false" customHeight="false" outlineLevel="0" collapsed="false">
      <c r="A9" s="0" t="s">
        <v>129</v>
      </c>
      <c r="B9" s="0" t="s">
        <v>192</v>
      </c>
      <c r="C9" s="0" t="n">
        <v>1</v>
      </c>
      <c r="D9" s="6" t="n">
        <v>3.96825396825397E-005</v>
      </c>
    </row>
    <row r="10" customFormat="false" ht="15" hidden="false" customHeight="false" outlineLevel="0" collapsed="false">
      <c r="A10" s="0" t="s">
        <v>141</v>
      </c>
      <c r="B10" s="0" t="s">
        <v>188</v>
      </c>
      <c r="C10" s="0" t="n">
        <v>14</v>
      </c>
      <c r="D10" s="6" t="n">
        <v>0.000555555555555556</v>
      </c>
    </row>
    <row r="11" customFormat="false" ht="15" hidden="false" customHeight="false" outlineLevel="0" collapsed="false">
      <c r="A11" s="0" t="s">
        <v>141</v>
      </c>
      <c r="B11" s="0" t="s">
        <v>193</v>
      </c>
      <c r="C11" s="0" t="n">
        <v>9</v>
      </c>
      <c r="D11" s="6" t="n">
        <v>0.000357142857142857</v>
      </c>
    </row>
    <row r="12" customFormat="false" ht="15" hidden="false" customHeight="false" outlineLevel="0" collapsed="false">
      <c r="A12" s="0" t="s">
        <v>141</v>
      </c>
      <c r="B12" s="0" t="s">
        <v>189</v>
      </c>
      <c r="C12" s="0" t="n">
        <v>8</v>
      </c>
      <c r="D12" s="6" t="n">
        <v>0.000317460317460318</v>
      </c>
    </row>
    <row r="13" customFormat="false" ht="15" hidden="false" customHeight="false" outlineLevel="0" collapsed="false">
      <c r="A13" s="0" t="s">
        <v>141</v>
      </c>
      <c r="B13" s="0" t="s">
        <v>190</v>
      </c>
      <c r="C13" s="0" t="n">
        <v>4</v>
      </c>
      <c r="D13" s="6" t="n">
        <v>0.000158730158730159</v>
      </c>
    </row>
    <row r="14" customFormat="false" ht="15" hidden="false" customHeight="false" outlineLevel="0" collapsed="false">
      <c r="A14" s="0" t="s">
        <v>141</v>
      </c>
      <c r="B14" s="0" t="s">
        <v>194</v>
      </c>
      <c r="C14" s="0" t="n">
        <v>2</v>
      </c>
      <c r="D14" s="6" t="n">
        <v>7.93650793650794E-005</v>
      </c>
    </row>
    <row r="15" customFormat="false" ht="15" hidden="false" customHeight="false" outlineLevel="0" collapsed="false">
      <c r="A15" s="0" t="s">
        <v>33</v>
      </c>
      <c r="B15" s="0" t="s">
        <v>188</v>
      </c>
      <c r="C15" s="0" t="n">
        <v>314</v>
      </c>
      <c r="D15" s="6" t="n">
        <v>0.0124603174603175</v>
      </c>
    </row>
    <row r="16" customFormat="false" ht="15" hidden="false" customHeight="false" outlineLevel="0" collapsed="false">
      <c r="A16" s="0" t="s">
        <v>33</v>
      </c>
      <c r="B16" s="0" t="s">
        <v>195</v>
      </c>
      <c r="C16" s="0" t="n">
        <v>181</v>
      </c>
      <c r="D16" s="6" t="n">
        <v>0.00718253968253968</v>
      </c>
    </row>
    <row r="17" customFormat="false" ht="15" hidden="false" customHeight="false" outlineLevel="0" collapsed="false">
      <c r="A17" s="0" t="s">
        <v>33</v>
      </c>
      <c r="B17" s="0" t="s">
        <v>189</v>
      </c>
      <c r="C17" s="0" t="n">
        <v>2</v>
      </c>
      <c r="D17" s="6" t="n">
        <v>7.93650793650794E-005</v>
      </c>
    </row>
    <row r="18" customFormat="false" ht="15" hidden="false" customHeight="false" outlineLevel="0" collapsed="false">
      <c r="A18" s="0" t="s">
        <v>152</v>
      </c>
      <c r="B18" s="0" t="s">
        <v>196</v>
      </c>
      <c r="C18" s="0" t="n">
        <v>463</v>
      </c>
      <c r="D18" s="6" t="n">
        <v>0.0183730158730159</v>
      </c>
    </row>
    <row r="19" customFormat="false" ht="15" hidden="false" customHeight="false" outlineLevel="0" collapsed="false">
      <c r="A19" s="0" t="s">
        <v>152</v>
      </c>
      <c r="B19" s="0" t="s">
        <v>188</v>
      </c>
      <c r="C19" s="0" t="n">
        <v>166</v>
      </c>
      <c r="D19" s="6" t="n">
        <v>0.00658730158730159</v>
      </c>
    </row>
    <row r="20" customFormat="false" ht="15" hidden="false" customHeight="false" outlineLevel="0" collapsed="false">
      <c r="A20" s="0" t="s">
        <v>152</v>
      </c>
      <c r="B20" s="0" t="s">
        <v>189</v>
      </c>
      <c r="C20" s="0" t="n">
        <v>69</v>
      </c>
      <c r="D20" s="6" t="n">
        <v>0.00273809523809524</v>
      </c>
    </row>
    <row r="21" customFormat="false" ht="15" hidden="false" customHeight="false" outlineLevel="0" collapsed="false">
      <c r="A21" s="0" t="s">
        <v>152</v>
      </c>
      <c r="B21" s="0" t="s">
        <v>190</v>
      </c>
      <c r="C21" s="0" t="n">
        <v>42</v>
      </c>
      <c r="D21" s="6" t="n">
        <v>0.00166666666666667</v>
      </c>
    </row>
    <row r="22" customFormat="false" ht="15" hidden="false" customHeight="false" outlineLevel="0" collapsed="false">
      <c r="A22" s="0" t="s">
        <v>152</v>
      </c>
      <c r="B22" s="0" t="s">
        <v>197</v>
      </c>
      <c r="C22" s="0" t="n">
        <v>1</v>
      </c>
      <c r="D22" s="6" t="n">
        <v>3.96825396825397E-005</v>
      </c>
    </row>
    <row r="23" customFormat="false" ht="15" hidden="false" customHeight="false" outlineLevel="0" collapsed="false">
      <c r="A23" s="0" t="s">
        <v>163</v>
      </c>
      <c r="B23" s="0" t="s">
        <v>198</v>
      </c>
      <c r="C23" s="0" t="n">
        <v>50</v>
      </c>
      <c r="D23" s="6" t="n">
        <v>0.00198412698412698</v>
      </c>
    </row>
    <row r="24" customFormat="false" ht="15" hidden="false" customHeight="false" outlineLevel="0" collapsed="false">
      <c r="A24" s="0" t="s">
        <v>163</v>
      </c>
      <c r="B24" s="0" t="s">
        <v>188</v>
      </c>
      <c r="C24" s="0" t="n">
        <v>43</v>
      </c>
      <c r="D24" s="6" t="n">
        <v>0.00170634920634921</v>
      </c>
    </row>
    <row r="25" customFormat="false" ht="15" hidden="false" customHeight="false" outlineLevel="0" collapsed="false">
      <c r="A25" s="0" t="s">
        <v>163</v>
      </c>
      <c r="B25" s="0" t="s">
        <v>189</v>
      </c>
      <c r="C25" s="0" t="n">
        <v>23</v>
      </c>
      <c r="D25" s="6" t="n">
        <v>0.000912698412698413</v>
      </c>
    </row>
    <row r="26" customFormat="false" ht="15" hidden="false" customHeight="false" outlineLevel="0" collapsed="false">
      <c r="A26" s="0" t="s">
        <v>163</v>
      </c>
      <c r="B26" s="0" t="s">
        <v>190</v>
      </c>
      <c r="C26" s="0" t="n">
        <v>17</v>
      </c>
      <c r="D26" s="6" t="n">
        <v>0.000674603174603175</v>
      </c>
    </row>
    <row r="27" customFormat="false" ht="15" hidden="false" customHeight="false" outlineLevel="0" collapsed="false">
      <c r="A27" s="0" t="s">
        <v>163</v>
      </c>
      <c r="B27" s="0" t="s">
        <v>199</v>
      </c>
      <c r="C27" s="0" t="n">
        <v>4</v>
      </c>
      <c r="D27" s="6" t="n">
        <v>0.000158730158730159</v>
      </c>
    </row>
    <row r="28" customFormat="false" ht="15" hidden="false" customHeight="false" outlineLevel="0" collapsed="false">
      <c r="A28" s="0" t="s">
        <v>115</v>
      </c>
      <c r="B28" s="0" t="s">
        <v>188</v>
      </c>
      <c r="C28" s="0" t="n">
        <v>59</v>
      </c>
      <c r="D28" s="6" t="n">
        <v>0.00234126984126984</v>
      </c>
    </row>
    <row r="29" customFormat="false" ht="15" hidden="false" customHeight="false" outlineLevel="0" collapsed="false">
      <c r="A29" s="0" t="s">
        <v>115</v>
      </c>
      <c r="B29" s="0" t="s">
        <v>199</v>
      </c>
      <c r="C29" s="0" t="n">
        <v>17</v>
      </c>
      <c r="D29" s="6" t="n">
        <v>0.000674603174603175</v>
      </c>
    </row>
    <row r="30" customFormat="false" ht="15" hidden="false" customHeight="false" outlineLevel="0" collapsed="false">
      <c r="A30" s="0" t="s">
        <v>115</v>
      </c>
      <c r="B30" s="0" t="s">
        <v>189</v>
      </c>
      <c r="C30" s="0" t="n">
        <v>11</v>
      </c>
      <c r="D30" s="6" t="n">
        <v>0.000436507936507937</v>
      </c>
    </row>
    <row r="31" customFormat="false" ht="15" hidden="false" customHeight="false" outlineLevel="0" collapsed="false">
      <c r="A31" s="0" t="s">
        <v>115</v>
      </c>
      <c r="B31" s="0" t="s">
        <v>200</v>
      </c>
      <c r="C31" s="0" t="n">
        <v>6</v>
      </c>
      <c r="D31" s="6" t="n">
        <v>0.000238095238095238</v>
      </c>
    </row>
    <row r="32" customFormat="false" ht="15" hidden="false" customHeight="false" outlineLevel="0" collapsed="false">
      <c r="A32" s="0" t="s">
        <v>115</v>
      </c>
      <c r="B32" s="0" t="s">
        <v>201</v>
      </c>
      <c r="C32" s="0" t="n">
        <v>5</v>
      </c>
      <c r="D32" s="6" t="n">
        <v>0.000198412698412698</v>
      </c>
    </row>
    <row r="33" customFormat="false" ht="15" hidden="false" customHeight="false" outlineLevel="0" collapsed="false">
      <c r="A33" s="0" t="s">
        <v>115</v>
      </c>
      <c r="B33" s="0" t="s">
        <v>196</v>
      </c>
      <c r="C33" s="0" t="n">
        <v>3</v>
      </c>
      <c r="D33" s="6" t="n">
        <v>0.000119047619047619</v>
      </c>
    </row>
    <row r="34" customFormat="false" ht="15" hidden="false" customHeight="false" outlineLevel="0" collapsed="false">
      <c r="A34" s="0" t="s">
        <v>115</v>
      </c>
      <c r="B34" s="0" t="s">
        <v>193</v>
      </c>
      <c r="C34" s="0" t="n">
        <v>1</v>
      </c>
      <c r="D34" s="6" t="n">
        <v>3.96825396825397E-005</v>
      </c>
    </row>
    <row r="35" customFormat="false" ht="15" hidden="false" customHeight="false" outlineLevel="0" collapsed="false">
      <c r="A35" s="0" t="s">
        <v>48</v>
      </c>
      <c r="B35" s="0" t="s">
        <v>190</v>
      </c>
      <c r="C35" s="0" t="n">
        <v>11</v>
      </c>
      <c r="D35" s="6" t="n">
        <v>0.000436507936507937</v>
      </c>
    </row>
    <row r="36" customFormat="false" ht="15" hidden="false" customHeight="false" outlineLevel="0" collapsed="false">
      <c r="A36" s="0" t="s">
        <v>48</v>
      </c>
      <c r="B36" s="0" t="s">
        <v>189</v>
      </c>
      <c r="C36" s="0" t="n">
        <v>4</v>
      </c>
      <c r="D36" s="6" t="n">
        <v>0.000158730158730159</v>
      </c>
    </row>
    <row r="37" customFormat="false" ht="15" hidden="false" customHeight="false" outlineLevel="0" collapsed="false">
      <c r="A37" s="0" t="s">
        <v>48</v>
      </c>
      <c r="B37" s="0" t="s">
        <v>192</v>
      </c>
      <c r="C37" s="0" t="n">
        <v>3</v>
      </c>
      <c r="D37" s="6" t="n">
        <v>0.000119047619047619</v>
      </c>
    </row>
    <row r="38" customFormat="false" ht="15" hidden="false" customHeight="false" outlineLevel="0" collapsed="false">
      <c r="A38" s="0" t="s">
        <v>48</v>
      </c>
      <c r="B38" s="0" t="s">
        <v>202</v>
      </c>
      <c r="C38" s="0" t="n">
        <v>1</v>
      </c>
      <c r="D38" s="6" t="n">
        <v>3.96825396825397E-005</v>
      </c>
    </row>
    <row r="39" customFormat="false" ht="15" hidden="false" customHeight="false" outlineLevel="0" collapsed="false">
      <c r="A39" s="0" t="s">
        <v>48</v>
      </c>
      <c r="B39" s="0" t="s">
        <v>188</v>
      </c>
      <c r="C39" s="0" t="n">
        <v>1</v>
      </c>
      <c r="D39" s="6" t="n">
        <v>3.96825396825397E-005</v>
      </c>
    </row>
    <row r="40" customFormat="false" ht="15" hidden="false" customHeight="false" outlineLevel="0" collapsed="false">
      <c r="A40" s="0" t="s">
        <v>91</v>
      </c>
      <c r="B40" s="0" t="s">
        <v>189</v>
      </c>
      <c r="C40" s="0" t="n">
        <v>64</v>
      </c>
      <c r="D40" s="6" t="n">
        <v>0.00253968253968254</v>
      </c>
    </row>
    <row r="41" customFormat="false" ht="15" hidden="false" customHeight="false" outlineLevel="0" collapsed="false">
      <c r="A41" s="0" t="s">
        <v>91</v>
      </c>
      <c r="B41" s="0" t="s">
        <v>188</v>
      </c>
      <c r="C41" s="0" t="n">
        <v>30</v>
      </c>
      <c r="D41" s="6" t="n">
        <v>0.00119047619047619</v>
      </c>
    </row>
    <row r="42" customFormat="false" ht="15" hidden="false" customHeight="false" outlineLevel="0" collapsed="false">
      <c r="A42" s="0" t="s">
        <v>91</v>
      </c>
      <c r="B42" s="0" t="s">
        <v>190</v>
      </c>
      <c r="C42" s="0" t="n">
        <v>14</v>
      </c>
      <c r="D42" s="6" t="n">
        <v>0.000555555555555556</v>
      </c>
    </row>
    <row r="43" customFormat="false" ht="15" hidden="false" customHeight="false" outlineLevel="0" collapsed="false">
      <c r="A43" s="0" t="s">
        <v>63</v>
      </c>
      <c r="B43" s="0" t="s">
        <v>189</v>
      </c>
      <c r="C43" s="0" t="n">
        <v>29</v>
      </c>
      <c r="D43" s="6" t="n">
        <v>0.00115079365079365</v>
      </c>
    </row>
    <row r="44" customFormat="false" ht="15" hidden="false" customHeight="false" outlineLevel="0" collapsed="false">
      <c r="A44" s="0" t="s">
        <v>63</v>
      </c>
      <c r="B44" s="0" t="s">
        <v>190</v>
      </c>
      <c r="C44" s="0" t="n">
        <v>27</v>
      </c>
      <c r="D44" s="6" t="n">
        <v>0.00107142857142857</v>
      </c>
    </row>
    <row r="45" customFormat="false" ht="15" hidden="false" customHeight="false" outlineLevel="0" collapsed="false">
      <c r="A45" s="0" t="s">
        <v>63</v>
      </c>
      <c r="B45" s="0" t="s">
        <v>188</v>
      </c>
      <c r="C45" s="0" t="n">
        <v>10</v>
      </c>
      <c r="D45" s="6" t="n">
        <v>0.000396825396825397</v>
      </c>
    </row>
    <row r="46" customFormat="false" ht="15" hidden="false" customHeight="false" outlineLevel="0" collapsed="false">
      <c r="A46" s="0" t="s">
        <v>63</v>
      </c>
      <c r="B46" s="0" t="s">
        <v>199</v>
      </c>
      <c r="C46" s="0" t="n">
        <v>7</v>
      </c>
      <c r="D46" s="6" t="n">
        <v>0.000277777777777778</v>
      </c>
    </row>
    <row r="47" customFormat="false" ht="15" hidden="false" customHeight="false" outlineLevel="0" collapsed="false">
      <c r="A47" s="0" t="s">
        <v>63</v>
      </c>
      <c r="B47" s="0" t="s">
        <v>193</v>
      </c>
      <c r="C47" s="0" t="n">
        <v>1</v>
      </c>
      <c r="D47" s="6" t="n">
        <v>3.96825396825397E-005</v>
      </c>
    </row>
    <row r="48" customFormat="false" ht="15" hidden="false" customHeight="false" outlineLevel="0" collapsed="false">
      <c r="A48" s="0" t="s">
        <v>102</v>
      </c>
      <c r="B48" s="0" t="s">
        <v>189</v>
      </c>
      <c r="C48" s="0" t="n">
        <v>24</v>
      </c>
      <c r="D48" s="6" t="n">
        <v>0.000952380952380952</v>
      </c>
    </row>
    <row r="49" customFormat="false" ht="15" hidden="false" customHeight="false" outlineLevel="0" collapsed="false">
      <c r="A49" s="0" t="s">
        <v>102</v>
      </c>
      <c r="B49" s="0" t="s">
        <v>190</v>
      </c>
      <c r="C49" s="0" t="n">
        <v>12</v>
      </c>
      <c r="D49" s="6" t="n">
        <v>0.000476190476190476</v>
      </c>
    </row>
    <row r="50" customFormat="false" ht="15" hidden="false" customHeight="false" outlineLevel="0" collapsed="false">
      <c r="A50" s="0" t="s">
        <v>102</v>
      </c>
      <c r="B50" s="0" t="s">
        <v>188</v>
      </c>
      <c r="C50" s="0" t="n">
        <v>8</v>
      </c>
      <c r="D50" s="6" t="n">
        <v>0.000317460317460318</v>
      </c>
    </row>
    <row r="51" customFormat="false" ht="15" hidden="false" customHeight="false" outlineLevel="0" collapsed="false">
      <c r="A51" s="0" t="s">
        <v>102</v>
      </c>
      <c r="B51" s="0" t="s">
        <v>203</v>
      </c>
      <c r="C51" s="0" t="n">
        <v>4</v>
      </c>
      <c r="D51" s="6" t="n">
        <v>0.000158730158730159</v>
      </c>
    </row>
    <row r="52" customFormat="false" ht="15" hidden="false" customHeight="false" outlineLevel="0" collapsed="false">
      <c r="A52" s="0" t="s">
        <v>77</v>
      </c>
      <c r="B52" s="0" t="s">
        <v>191</v>
      </c>
      <c r="C52" s="0" t="n">
        <v>86</v>
      </c>
      <c r="D52" s="6" t="n">
        <v>0.00341269841269841</v>
      </c>
    </row>
    <row r="53" customFormat="false" ht="15" hidden="false" customHeight="false" outlineLevel="0" collapsed="false">
      <c r="A53" s="0" t="s">
        <v>77</v>
      </c>
      <c r="B53" s="0" t="s">
        <v>190</v>
      </c>
      <c r="C53" s="0" t="n">
        <v>14</v>
      </c>
      <c r="D53" s="6" t="n">
        <v>0.000555555555555556</v>
      </c>
    </row>
    <row r="54" customFormat="false" ht="15" hidden="false" customHeight="false" outlineLevel="0" collapsed="false">
      <c r="A54" s="0" t="s">
        <v>77</v>
      </c>
      <c r="B54" s="0" t="s">
        <v>189</v>
      </c>
      <c r="C54" s="0" t="n">
        <v>6</v>
      </c>
      <c r="D54" s="6" t="n">
        <v>0.000238095238095238</v>
      </c>
    </row>
    <row r="55" customFormat="false" ht="15" hidden="false" customHeight="false" outlineLevel="0" collapsed="false">
      <c r="A55" s="0" t="s">
        <v>77</v>
      </c>
      <c r="B55" s="0" t="s">
        <v>188</v>
      </c>
      <c r="C55" s="0" t="n">
        <v>3</v>
      </c>
      <c r="D55" s="6" t="n">
        <v>0.000119047619047619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18"/>
    <col collapsed="false" customWidth="true" hidden="false" outlineLevel="0" max="15" min="4" style="0" width="16"/>
  </cols>
  <sheetData>
    <row r="1" customFormat="false" ht="15" hidden="false" customHeight="false" outlineLevel="0" collapsed="false">
      <c r="A1" s="1" t="s">
        <v>204</v>
      </c>
    </row>
    <row r="3" customFormat="false" ht="45" hidden="false" customHeight="true" outlineLevel="0" collapsed="false">
      <c r="A3" s="2" t="s">
        <v>1</v>
      </c>
      <c r="B3" s="2" t="s">
        <v>205</v>
      </c>
      <c r="C3" s="2" t="s">
        <v>174</v>
      </c>
      <c r="D3" s="2" t="s">
        <v>175</v>
      </c>
      <c r="E3" s="2" t="s">
        <v>206</v>
      </c>
      <c r="F3" s="2" t="s">
        <v>12</v>
      </c>
      <c r="G3" s="2" t="s">
        <v>177</v>
      </c>
      <c r="H3" s="2" t="s">
        <v>178</v>
      </c>
      <c r="I3" s="2" t="s">
        <v>207</v>
      </c>
      <c r="J3" s="2" t="s">
        <v>208</v>
      </c>
      <c r="K3" s="2" t="s">
        <v>209</v>
      </c>
      <c r="L3" s="2" t="s">
        <v>210</v>
      </c>
      <c r="M3" s="2" t="s">
        <v>179</v>
      </c>
      <c r="N3" s="2" t="s">
        <v>180</v>
      </c>
      <c r="O3" s="2" t="s">
        <v>211</v>
      </c>
    </row>
    <row r="4" customFormat="false" ht="15" hidden="false" customHeight="false" outlineLevel="0" collapsed="false">
      <c r="A4" s="0" t="s">
        <v>18</v>
      </c>
      <c r="B4" s="0" t="s">
        <v>212</v>
      </c>
      <c r="C4" s="0" t="s">
        <v>181</v>
      </c>
      <c r="D4" s="0" t="n">
        <v>1680</v>
      </c>
      <c r="E4" s="0" t="n">
        <v>1671</v>
      </c>
      <c r="F4" s="6" t="n">
        <v>0.994642857142857</v>
      </c>
      <c r="G4" s="6" t="n">
        <v>0.989849644837864</v>
      </c>
      <c r="H4" s="6" t="n">
        <v>0.997179063800764</v>
      </c>
      <c r="I4" s="6" t="n">
        <v>0</v>
      </c>
      <c r="J4" s="6" t="n">
        <v>0</v>
      </c>
      <c r="K4" s="6" t="n">
        <v>0</v>
      </c>
      <c r="L4" s="6" t="n">
        <v>0.00535714285714286</v>
      </c>
      <c r="M4" s="7" t="n">
        <v>1.069</v>
      </c>
      <c r="N4" s="7" t="n">
        <v>3.151</v>
      </c>
      <c r="O4" s="8" t="n">
        <v>308.238153366816</v>
      </c>
    </row>
    <row r="5" customFormat="false" ht="15" hidden="false" customHeight="false" outlineLevel="0" collapsed="false">
      <c r="A5" s="0" t="s">
        <v>18</v>
      </c>
      <c r="B5" s="0" t="s">
        <v>212</v>
      </c>
      <c r="C5" s="0" t="s">
        <v>182</v>
      </c>
      <c r="D5" s="0" t="n">
        <v>1680</v>
      </c>
      <c r="E5" s="0" t="n">
        <v>1673</v>
      </c>
      <c r="F5" s="6" t="n">
        <v>0.995833333333333</v>
      </c>
      <c r="G5" s="6" t="n">
        <v>0.991423991836976</v>
      </c>
      <c r="H5" s="6" t="n">
        <v>0.997980237159386</v>
      </c>
      <c r="I5" s="6" t="n">
        <v>0</v>
      </c>
      <c r="J5" s="6" t="n">
        <v>0</v>
      </c>
      <c r="K5" s="6" t="n">
        <v>0.000595238095238095</v>
      </c>
      <c r="L5" s="6" t="n">
        <v>0.00357142857142857</v>
      </c>
      <c r="M5" s="7" t="n">
        <v>1.042</v>
      </c>
      <c r="N5" s="7" t="n">
        <v>2.6698</v>
      </c>
      <c r="O5" s="8" t="n">
        <v>308.6080078125</v>
      </c>
    </row>
    <row r="6" customFormat="false" ht="15" hidden="false" customHeight="false" outlineLevel="0" collapsed="false">
      <c r="A6" s="0" t="s">
        <v>18</v>
      </c>
      <c r="B6" s="0" t="s">
        <v>212</v>
      </c>
      <c r="C6" s="0" t="s">
        <v>183</v>
      </c>
      <c r="D6" s="0" t="n">
        <v>1680</v>
      </c>
      <c r="E6" s="0" t="n">
        <v>1677</v>
      </c>
      <c r="F6" s="6" t="n">
        <v>0.998214285714286</v>
      </c>
      <c r="G6" s="6" t="n">
        <v>0.994762744457591</v>
      </c>
      <c r="H6" s="6" t="n">
        <v>0.999392525254239</v>
      </c>
      <c r="I6" s="6" t="n">
        <v>0</v>
      </c>
      <c r="J6" s="6" t="n">
        <v>0</v>
      </c>
      <c r="K6" s="6" t="n">
        <v>0</v>
      </c>
      <c r="L6" s="6" t="n">
        <v>0.00178571428571429</v>
      </c>
      <c r="M6" s="7" t="n">
        <v>1.501</v>
      </c>
      <c r="N6" s="7" t="n">
        <v>3.3508</v>
      </c>
      <c r="O6" s="8" t="n">
        <v>309.348911830357</v>
      </c>
    </row>
    <row r="7" customFormat="false" ht="15" hidden="false" customHeight="false" outlineLevel="0" collapsed="false">
      <c r="A7" s="0" t="s">
        <v>18</v>
      </c>
      <c r="B7" s="0" t="s">
        <v>212</v>
      </c>
      <c r="C7" s="0" t="s">
        <v>184</v>
      </c>
      <c r="D7" s="0" t="n">
        <v>5040</v>
      </c>
      <c r="E7" s="0" t="n">
        <v>5021</v>
      </c>
      <c r="F7" s="6" t="n">
        <v>0.996230158730159</v>
      </c>
      <c r="G7" s="6" t="n">
        <v>0.994119208897828</v>
      </c>
      <c r="H7" s="6" t="n">
        <v>0.997585209416974</v>
      </c>
      <c r="I7" s="6" t="n">
        <v>0</v>
      </c>
      <c r="J7" s="6" t="n">
        <v>0</v>
      </c>
      <c r="K7" s="6" t="n">
        <v>0.000198412698412698</v>
      </c>
      <c r="L7" s="6" t="n">
        <v>0.00357142857142857</v>
      </c>
      <c r="M7" s="7" t="n">
        <v>1.31</v>
      </c>
      <c r="N7" s="7" t="n">
        <v>3.16</v>
      </c>
      <c r="O7" s="8" t="n">
        <v>308.731691003224</v>
      </c>
    </row>
    <row r="8" customFormat="false" ht="15" hidden="false" customHeight="false" outlineLevel="0" collapsed="false">
      <c r="A8" s="0" t="s">
        <v>18</v>
      </c>
      <c r="B8" s="0" t="s">
        <v>213</v>
      </c>
      <c r="C8" s="0" t="s">
        <v>181</v>
      </c>
      <c r="D8" s="0" t="n">
        <v>630</v>
      </c>
      <c r="E8" s="0" t="n">
        <v>296</v>
      </c>
      <c r="F8" s="6" t="n">
        <v>0.46984126984127</v>
      </c>
      <c r="G8" s="6" t="n">
        <v>0.431168865599499</v>
      </c>
      <c r="H8" s="6" t="n">
        <v>0.508879247367526</v>
      </c>
      <c r="I8" s="6" t="n">
        <v>0.314285714285714</v>
      </c>
      <c r="J8" s="6" t="n">
        <v>0.2</v>
      </c>
      <c r="K8" s="6" t="n">
        <v>0</v>
      </c>
      <c r="L8" s="6" t="n">
        <v>0.0158730158730159</v>
      </c>
      <c r="M8" s="7" t="n">
        <v>1.654</v>
      </c>
      <c r="N8" s="7" t="n">
        <v>2.2315</v>
      </c>
      <c r="O8" s="8" t="n">
        <v>841.15724671379</v>
      </c>
    </row>
    <row r="9" customFormat="false" ht="15" hidden="false" customHeight="false" outlineLevel="0" collapsed="false">
      <c r="A9" s="0" t="s">
        <v>18</v>
      </c>
      <c r="B9" s="0" t="s">
        <v>213</v>
      </c>
      <c r="C9" s="0" t="s">
        <v>182</v>
      </c>
      <c r="D9" s="0" t="n">
        <v>630</v>
      </c>
      <c r="E9" s="0" t="n">
        <v>319</v>
      </c>
      <c r="F9" s="6" t="n">
        <v>0.506349206349206</v>
      </c>
      <c r="G9" s="6" t="n">
        <v>0.467388209420934</v>
      </c>
      <c r="H9" s="6" t="n">
        <v>0.545233240480745</v>
      </c>
      <c r="I9" s="6" t="n">
        <v>0.311111111111111</v>
      </c>
      <c r="J9" s="6" t="n">
        <v>0.171428571428571</v>
      </c>
      <c r="K9" s="6" t="n">
        <v>0</v>
      </c>
      <c r="L9" s="6" t="n">
        <v>0.0111111111111111</v>
      </c>
      <c r="M9" s="7" t="n">
        <v>1.731</v>
      </c>
      <c r="N9" s="7" t="n">
        <v>3.0184</v>
      </c>
      <c r="O9" s="8" t="n">
        <v>907.456318204365</v>
      </c>
    </row>
    <row r="10" customFormat="false" ht="15" hidden="false" customHeight="false" outlineLevel="0" collapsed="false">
      <c r="A10" s="0" t="s">
        <v>18</v>
      </c>
      <c r="B10" s="0" t="s">
        <v>213</v>
      </c>
      <c r="C10" s="0" t="s">
        <v>183</v>
      </c>
      <c r="D10" s="0" t="n">
        <v>630</v>
      </c>
      <c r="E10" s="0" t="n">
        <v>289</v>
      </c>
      <c r="F10" s="6" t="n">
        <v>0.458730158730159</v>
      </c>
      <c r="G10" s="6" t="n">
        <v>0.420186669305128</v>
      </c>
      <c r="H10" s="6" t="n">
        <v>0.497773906333959</v>
      </c>
      <c r="I10" s="6" t="n">
        <v>0.323809523809524</v>
      </c>
      <c r="J10" s="6" t="n">
        <v>0.185714285714286</v>
      </c>
      <c r="K10" s="6" t="n">
        <v>0</v>
      </c>
      <c r="L10" s="6" t="n">
        <v>0.0317460317460317</v>
      </c>
      <c r="M10" s="7" t="n">
        <v>2.349</v>
      </c>
      <c r="N10" s="7" t="n">
        <v>3.0032</v>
      </c>
      <c r="O10" s="8" t="n">
        <v>806.694441344246</v>
      </c>
    </row>
    <row r="11" customFormat="false" ht="15" hidden="false" customHeight="false" outlineLevel="0" collapsed="false">
      <c r="A11" s="0" t="s">
        <v>18</v>
      </c>
      <c r="B11" s="0" t="s">
        <v>213</v>
      </c>
      <c r="C11" s="0" t="s">
        <v>184</v>
      </c>
      <c r="D11" s="0" t="n">
        <v>1890</v>
      </c>
      <c r="E11" s="0" t="n">
        <v>904</v>
      </c>
      <c r="F11" s="6" t="n">
        <v>0.478306878306878</v>
      </c>
      <c r="G11" s="6" t="n">
        <v>0.455852776870734</v>
      </c>
      <c r="H11" s="6" t="n">
        <v>0.500848987416205</v>
      </c>
      <c r="I11" s="6" t="n">
        <v>0.316402116402116</v>
      </c>
      <c r="J11" s="6" t="n">
        <v>0.185714285714286</v>
      </c>
      <c r="K11" s="6" t="n">
        <v>0</v>
      </c>
      <c r="L11" s="6" t="n">
        <v>0.0195767195767196</v>
      </c>
      <c r="M11" s="7" t="n">
        <v>1.938</v>
      </c>
      <c r="N11" s="7" t="n">
        <v>2.8695</v>
      </c>
      <c r="O11" s="8" t="n">
        <v>851.7693354208</v>
      </c>
    </row>
    <row r="12" customFormat="false" ht="15" hidden="false" customHeight="false" outlineLevel="0" collapsed="false">
      <c r="A12" s="0" t="s">
        <v>33</v>
      </c>
      <c r="B12" s="0" t="s">
        <v>212</v>
      </c>
      <c r="C12" s="0" t="s">
        <v>181</v>
      </c>
      <c r="D12" s="0" t="n">
        <v>1680</v>
      </c>
      <c r="E12" s="0" t="n">
        <v>1652</v>
      </c>
      <c r="F12" s="6" t="n">
        <v>0.983333333333333</v>
      </c>
      <c r="G12" s="6" t="n">
        <v>0.976017229740248</v>
      </c>
      <c r="H12" s="6" t="n">
        <v>0.988444035499903</v>
      </c>
      <c r="I12" s="6" t="n">
        <v>0</v>
      </c>
      <c r="J12" s="6" t="n">
        <v>0</v>
      </c>
      <c r="K12" s="6" t="n">
        <v>0</v>
      </c>
      <c r="L12" s="6" t="n">
        <v>0.0166666666666667</v>
      </c>
      <c r="M12" s="7" t="n">
        <v>1.664</v>
      </c>
      <c r="N12" s="7" t="n">
        <v>3.0592</v>
      </c>
      <c r="O12" s="8" t="n">
        <v>304.737060546875</v>
      </c>
    </row>
    <row r="13" customFormat="false" ht="15" hidden="false" customHeight="false" outlineLevel="0" collapsed="false">
      <c r="A13" s="0" t="s">
        <v>33</v>
      </c>
      <c r="B13" s="0" t="s">
        <v>212</v>
      </c>
      <c r="C13" s="0" t="s">
        <v>182</v>
      </c>
      <c r="D13" s="0" t="n">
        <v>1680</v>
      </c>
      <c r="E13" s="0" t="n">
        <v>1663</v>
      </c>
      <c r="F13" s="6" t="n">
        <v>0.989880952380952</v>
      </c>
      <c r="G13" s="6" t="n">
        <v>0.983853974974169</v>
      </c>
      <c r="H13" s="6" t="n">
        <v>0.993672652233521</v>
      </c>
      <c r="I13" s="6" t="n">
        <v>0</v>
      </c>
      <c r="J13" s="6" t="n">
        <v>0</v>
      </c>
      <c r="K13" s="6" t="n">
        <v>0</v>
      </c>
      <c r="L13" s="6" t="n">
        <v>0.0101190476190476</v>
      </c>
      <c r="M13" s="7" t="n">
        <v>1.028</v>
      </c>
      <c r="N13" s="7" t="n">
        <v>2.231</v>
      </c>
      <c r="O13" s="8" t="n">
        <v>306.769725399926</v>
      </c>
    </row>
    <row r="14" customFormat="false" ht="15" hidden="false" customHeight="false" outlineLevel="0" collapsed="false">
      <c r="A14" s="0" t="s">
        <v>33</v>
      </c>
      <c r="B14" s="0" t="s">
        <v>212</v>
      </c>
      <c r="C14" s="0" t="s">
        <v>183</v>
      </c>
      <c r="D14" s="0" t="n">
        <v>1680</v>
      </c>
      <c r="E14" s="0" t="n">
        <v>1652</v>
      </c>
      <c r="F14" s="6" t="n">
        <v>0.983333333333333</v>
      </c>
      <c r="G14" s="6" t="n">
        <v>0.976017229740248</v>
      </c>
      <c r="H14" s="6" t="n">
        <v>0.988444035499903</v>
      </c>
      <c r="I14" s="6" t="n">
        <v>0</v>
      </c>
      <c r="J14" s="6" t="n">
        <v>0</v>
      </c>
      <c r="K14" s="6" t="n">
        <v>0</v>
      </c>
      <c r="L14" s="6" t="n">
        <v>0.0166666666666667</v>
      </c>
      <c r="M14" s="7" t="n">
        <v>1.0895</v>
      </c>
      <c r="N14" s="7" t="n">
        <v>2.201</v>
      </c>
      <c r="O14" s="8" t="n">
        <v>304.736560058594</v>
      </c>
    </row>
    <row r="15" customFormat="false" ht="15" hidden="false" customHeight="false" outlineLevel="0" collapsed="false">
      <c r="A15" s="0" t="s">
        <v>33</v>
      </c>
      <c r="B15" s="0" t="s">
        <v>212</v>
      </c>
      <c r="C15" s="0" t="s">
        <v>184</v>
      </c>
      <c r="D15" s="0" t="n">
        <v>5040</v>
      </c>
      <c r="E15" s="0" t="n">
        <v>4967</v>
      </c>
      <c r="F15" s="6" t="n">
        <v>0.985515873015873</v>
      </c>
      <c r="G15" s="6" t="n">
        <v>0.981828151690605</v>
      </c>
      <c r="H15" s="6" t="n">
        <v>0.988464016088811</v>
      </c>
      <c r="I15" s="6" t="n">
        <v>0</v>
      </c>
      <c r="J15" s="6" t="n">
        <v>0</v>
      </c>
      <c r="K15" s="6" t="n">
        <v>0</v>
      </c>
      <c r="L15" s="6" t="n">
        <v>0.014484126984127</v>
      </c>
      <c r="M15" s="7" t="n">
        <v>1.267</v>
      </c>
      <c r="N15" s="7" t="n">
        <v>2.6182</v>
      </c>
      <c r="O15" s="8" t="n">
        <v>305.414448668465</v>
      </c>
    </row>
    <row r="16" customFormat="false" ht="15" hidden="false" customHeight="false" outlineLevel="0" collapsed="false">
      <c r="A16" s="0" t="s">
        <v>33</v>
      </c>
      <c r="B16" s="0" t="s">
        <v>213</v>
      </c>
      <c r="C16" s="0" t="s">
        <v>181</v>
      </c>
      <c r="D16" s="0" t="n">
        <v>630</v>
      </c>
      <c r="E16" s="0" t="n">
        <v>308</v>
      </c>
      <c r="F16" s="6" t="n">
        <v>0.488888888888889</v>
      </c>
      <c r="G16" s="6" t="n">
        <v>0.450040150517312</v>
      </c>
      <c r="H16" s="6" t="n">
        <v>0.52787231215475</v>
      </c>
      <c r="I16" s="6" t="n">
        <v>0.322222222222222</v>
      </c>
      <c r="J16" s="6" t="n">
        <v>0.179365079365079</v>
      </c>
      <c r="K16" s="6" t="n">
        <v>0</v>
      </c>
      <c r="L16" s="6" t="n">
        <v>0.00952380952380953</v>
      </c>
      <c r="M16" s="7" t="n">
        <v>2.027</v>
      </c>
      <c r="N16" s="7" t="n">
        <v>2.9111</v>
      </c>
      <c r="O16" s="8" t="n">
        <v>924.817409164187</v>
      </c>
    </row>
    <row r="17" customFormat="false" ht="15" hidden="false" customHeight="false" outlineLevel="0" collapsed="false">
      <c r="A17" s="0" t="s">
        <v>33</v>
      </c>
      <c r="B17" s="0" t="s">
        <v>213</v>
      </c>
      <c r="C17" s="0" t="s">
        <v>182</v>
      </c>
      <c r="D17" s="0" t="n">
        <v>630</v>
      </c>
      <c r="E17" s="0" t="n">
        <v>311</v>
      </c>
      <c r="F17" s="6" t="n">
        <v>0.493650793650794</v>
      </c>
      <c r="G17" s="6" t="n">
        <v>0.454766759519255</v>
      </c>
      <c r="H17" s="6" t="n">
        <v>0.532611790579066</v>
      </c>
      <c r="I17" s="6" t="n">
        <v>0.282539682539683</v>
      </c>
      <c r="J17" s="6" t="n">
        <v>0.203174603174603</v>
      </c>
      <c r="K17" s="6" t="n">
        <v>0</v>
      </c>
      <c r="L17" s="6" t="n">
        <v>0.0206349206349206</v>
      </c>
      <c r="M17" s="7" t="n">
        <v>1.939</v>
      </c>
      <c r="N17" s="7" t="n">
        <v>2.704</v>
      </c>
      <c r="O17" s="8" t="n">
        <v>945.502925037202</v>
      </c>
    </row>
    <row r="18" customFormat="false" ht="15" hidden="false" customHeight="false" outlineLevel="0" collapsed="false">
      <c r="A18" s="0" t="s">
        <v>33</v>
      </c>
      <c r="B18" s="0" t="s">
        <v>213</v>
      </c>
      <c r="C18" s="0" t="s">
        <v>183</v>
      </c>
      <c r="D18" s="0" t="n">
        <v>630</v>
      </c>
      <c r="E18" s="0" t="n">
        <v>315</v>
      </c>
      <c r="F18" s="6" t="n">
        <v>0.5</v>
      </c>
      <c r="G18" s="6" t="n">
        <v>0.461074364993021</v>
      </c>
      <c r="H18" s="6" t="n">
        <v>0.538925635006979</v>
      </c>
      <c r="I18" s="6" t="n">
        <v>0.333333333333333</v>
      </c>
      <c r="J18" s="6" t="n">
        <v>0.147619047619048</v>
      </c>
      <c r="K18" s="6" t="n">
        <v>0</v>
      </c>
      <c r="L18" s="6" t="n">
        <v>0.0190476190476191</v>
      </c>
      <c r="M18" s="7" t="n">
        <v>2.15</v>
      </c>
      <c r="N18" s="7" t="n">
        <v>3.023</v>
      </c>
      <c r="O18" s="8" t="n">
        <v>940.279822358631</v>
      </c>
    </row>
    <row r="19" customFormat="false" ht="15" hidden="false" customHeight="false" outlineLevel="0" collapsed="false">
      <c r="A19" s="0" t="s">
        <v>33</v>
      </c>
      <c r="B19" s="0" t="s">
        <v>213</v>
      </c>
      <c r="C19" s="0" t="s">
        <v>184</v>
      </c>
      <c r="D19" s="0" t="n">
        <v>1890</v>
      </c>
      <c r="E19" s="0" t="n">
        <v>934</v>
      </c>
      <c r="F19" s="6" t="n">
        <v>0.494179894179894</v>
      </c>
      <c r="G19" s="6" t="n">
        <v>0.471673955687426</v>
      </c>
      <c r="H19" s="6" t="n">
        <v>0.516709444487119</v>
      </c>
      <c r="I19" s="6" t="n">
        <v>0.312698412698413</v>
      </c>
      <c r="J19" s="6" t="n">
        <v>0.176719576719577</v>
      </c>
      <c r="K19" s="6" t="n">
        <v>0</v>
      </c>
      <c r="L19" s="6" t="n">
        <v>0.0164021164021164</v>
      </c>
      <c r="M19" s="7" t="n">
        <v>2.0325</v>
      </c>
      <c r="N19" s="7" t="n">
        <v>2.9536</v>
      </c>
      <c r="O19" s="8" t="n">
        <v>936.86671885334</v>
      </c>
    </row>
    <row r="20" customFormat="false" ht="15" hidden="false" customHeight="false" outlineLevel="0" collapsed="false">
      <c r="A20" s="0" t="s">
        <v>48</v>
      </c>
      <c r="B20" s="0" t="s">
        <v>212</v>
      </c>
      <c r="C20" s="0" t="s">
        <v>181</v>
      </c>
      <c r="D20" s="0" t="n">
        <v>1680</v>
      </c>
      <c r="E20" s="0" t="n">
        <v>1679</v>
      </c>
      <c r="F20" s="6" t="n">
        <v>0.999404761904762</v>
      </c>
      <c r="G20" s="6" t="n">
        <v>0.99663586923501</v>
      </c>
      <c r="H20" s="6" t="n">
        <v>0.999894920834554</v>
      </c>
      <c r="I20" s="6" t="n">
        <v>0</v>
      </c>
      <c r="J20" s="6" t="n">
        <v>0</v>
      </c>
      <c r="K20" s="6" t="n">
        <v>0</v>
      </c>
      <c r="L20" s="6" t="n">
        <v>0.000595238095238095</v>
      </c>
      <c r="M20" s="7" t="n">
        <v>0.962</v>
      </c>
      <c r="N20" s="7" t="n">
        <v>1.7322</v>
      </c>
      <c r="O20" s="8" t="n">
        <v>309.718855794271</v>
      </c>
    </row>
    <row r="21" customFormat="false" ht="15" hidden="false" customHeight="false" outlineLevel="0" collapsed="false">
      <c r="A21" s="0" t="s">
        <v>48</v>
      </c>
      <c r="B21" s="0" t="s">
        <v>212</v>
      </c>
      <c r="C21" s="0" t="s">
        <v>182</v>
      </c>
      <c r="D21" s="0" t="n">
        <v>1680</v>
      </c>
      <c r="E21" s="0" t="n">
        <v>1675</v>
      </c>
      <c r="F21" s="6" t="n">
        <v>0.99702380952381</v>
      </c>
      <c r="G21" s="6" t="n">
        <v>0.993051630705943</v>
      </c>
      <c r="H21" s="6" t="n">
        <v>0.998728118648153</v>
      </c>
      <c r="I21" s="6" t="n">
        <v>0</v>
      </c>
      <c r="J21" s="6" t="n">
        <v>0</v>
      </c>
      <c r="K21" s="6" t="n">
        <v>0.000595238095238095</v>
      </c>
      <c r="L21" s="6" t="n">
        <v>0.00238095238095238</v>
      </c>
      <c r="M21" s="7" t="n">
        <v>0.731</v>
      </c>
      <c r="N21" s="7" t="n">
        <v>1.6622</v>
      </c>
      <c r="O21" s="8" t="n">
        <v>308.981501697359</v>
      </c>
    </row>
    <row r="22" customFormat="false" ht="15" hidden="false" customHeight="false" outlineLevel="0" collapsed="false">
      <c r="A22" s="0" t="s">
        <v>48</v>
      </c>
      <c r="B22" s="0" t="s">
        <v>212</v>
      </c>
      <c r="C22" s="0" t="s">
        <v>183</v>
      </c>
      <c r="D22" s="0" t="n">
        <v>1680</v>
      </c>
      <c r="E22" s="0" t="n">
        <v>1676</v>
      </c>
      <c r="F22" s="6" t="n">
        <v>0.997619047619048</v>
      </c>
      <c r="G22" s="6" t="n">
        <v>0.993893777992359</v>
      </c>
      <c r="H22" s="6" t="n">
        <v>0.999073731540604</v>
      </c>
      <c r="I22" s="6" t="n">
        <v>0</v>
      </c>
      <c r="J22" s="6" t="n">
        <v>0</v>
      </c>
      <c r="K22" s="6" t="n">
        <v>0</v>
      </c>
      <c r="L22" s="6" t="n">
        <v>0.00238095238095238</v>
      </c>
      <c r="M22" s="7" t="n">
        <v>1.0085</v>
      </c>
      <c r="N22" s="7" t="n">
        <v>1.7065</v>
      </c>
      <c r="O22" s="8" t="n">
        <v>309.16427234468</v>
      </c>
    </row>
    <row r="23" customFormat="false" ht="15" hidden="false" customHeight="false" outlineLevel="0" collapsed="false">
      <c r="A23" s="0" t="s">
        <v>48</v>
      </c>
      <c r="B23" s="0" t="s">
        <v>212</v>
      </c>
      <c r="C23" s="0" t="s">
        <v>184</v>
      </c>
      <c r="D23" s="0" t="n">
        <v>5040</v>
      </c>
      <c r="E23" s="0" t="n">
        <v>5030</v>
      </c>
      <c r="F23" s="6" t="n">
        <v>0.998015873015873</v>
      </c>
      <c r="G23" s="6" t="n">
        <v>0.996351234141779</v>
      </c>
      <c r="H23" s="6" t="n">
        <v>0.998921892595587</v>
      </c>
      <c r="I23" s="6" t="n">
        <v>0</v>
      </c>
      <c r="J23" s="6" t="n">
        <v>0</v>
      </c>
      <c r="K23" s="6" t="n">
        <v>0.000198412698412698</v>
      </c>
      <c r="L23" s="6" t="n">
        <v>0.00178571428571429</v>
      </c>
      <c r="M23" s="7" t="n">
        <v>0.933</v>
      </c>
      <c r="N23" s="7" t="n">
        <v>1.7032</v>
      </c>
      <c r="O23" s="8" t="n">
        <v>309.288209945437</v>
      </c>
    </row>
    <row r="24" customFormat="false" ht="15" hidden="false" customHeight="false" outlineLevel="0" collapsed="false">
      <c r="A24" s="0" t="s">
        <v>48</v>
      </c>
      <c r="B24" s="0" t="s">
        <v>213</v>
      </c>
      <c r="C24" s="0" t="s">
        <v>181</v>
      </c>
      <c r="D24" s="0" t="n">
        <v>630</v>
      </c>
      <c r="E24" s="0" t="n">
        <v>347</v>
      </c>
      <c r="F24" s="6" t="n">
        <v>0.550793650793651</v>
      </c>
      <c r="G24" s="6" t="n">
        <v>0.511760317719924</v>
      </c>
      <c r="H24" s="6" t="n">
        <v>0.589211281493508</v>
      </c>
      <c r="I24" s="6" t="n">
        <v>0.344444444444444</v>
      </c>
      <c r="J24" s="6" t="n">
        <v>0.104761904761905</v>
      </c>
      <c r="K24" s="6" t="n">
        <v>0</v>
      </c>
      <c r="L24" s="6" t="n">
        <v>0</v>
      </c>
      <c r="M24" s="7" t="n">
        <v>1.71</v>
      </c>
      <c r="N24" s="7" t="n">
        <v>2.6178</v>
      </c>
      <c r="O24" s="8" t="n">
        <v>1015.53298301091</v>
      </c>
    </row>
    <row r="25" customFormat="false" ht="15" hidden="false" customHeight="false" outlineLevel="0" collapsed="false">
      <c r="A25" s="0" t="s">
        <v>48</v>
      </c>
      <c r="B25" s="0" t="s">
        <v>213</v>
      </c>
      <c r="C25" s="0" t="s">
        <v>182</v>
      </c>
      <c r="D25" s="0" t="n">
        <v>630</v>
      </c>
      <c r="E25" s="0" t="n">
        <v>347</v>
      </c>
      <c r="F25" s="6" t="n">
        <v>0.550793650793651</v>
      </c>
      <c r="G25" s="6" t="n">
        <v>0.511760317719924</v>
      </c>
      <c r="H25" s="6" t="n">
        <v>0.589211281493508</v>
      </c>
      <c r="I25" s="6" t="n">
        <v>0.331746031746032</v>
      </c>
      <c r="J25" s="6" t="n">
        <v>0.114285714285714</v>
      </c>
      <c r="K25" s="6" t="n">
        <v>0</v>
      </c>
      <c r="L25" s="6" t="n">
        <v>0.00317460317460318</v>
      </c>
      <c r="M25" s="7" t="n">
        <v>1.759</v>
      </c>
      <c r="N25" s="7" t="n">
        <v>3.1176</v>
      </c>
      <c r="O25" s="8" t="n">
        <v>1002.07492714534</v>
      </c>
    </row>
    <row r="26" customFormat="false" ht="15" hidden="false" customHeight="false" outlineLevel="0" collapsed="false">
      <c r="A26" s="0" t="s">
        <v>48</v>
      </c>
      <c r="B26" s="0" t="s">
        <v>213</v>
      </c>
      <c r="C26" s="0" t="s">
        <v>183</v>
      </c>
      <c r="D26" s="0" t="n">
        <v>630</v>
      </c>
      <c r="E26" s="0" t="n">
        <v>352</v>
      </c>
      <c r="F26" s="6" t="n">
        <v>0.558730158730159</v>
      </c>
      <c r="G26" s="6" t="n">
        <v>0.519716391697445</v>
      </c>
      <c r="H26" s="6" t="n">
        <v>0.597032019893085</v>
      </c>
      <c r="I26" s="6" t="n">
        <v>0.350793650793651</v>
      </c>
      <c r="J26" s="6" t="n">
        <v>0.0904761904761905</v>
      </c>
      <c r="K26" s="6" t="n">
        <v>0</v>
      </c>
      <c r="L26" s="6" t="n">
        <v>0</v>
      </c>
      <c r="M26" s="7" t="n">
        <v>2.1345</v>
      </c>
      <c r="N26" s="7" t="n">
        <v>2.9938</v>
      </c>
      <c r="O26" s="8" t="n">
        <v>1046.49666728671</v>
      </c>
    </row>
    <row r="27" customFormat="false" ht="15" hidden="false" customHeight="false" outlineLevel="0" collapsed="false">
      <c r="A27" s="0" t="s">
        <v>48</v>
      </c>
      <c r="B27" s="0" t="s">
        <v>213</v>
      </c>
      <c r="C27" s="0" t="s">
        <v>184</v>
      </c>
      <c r="D27" s="0" t="n">
        <v>1890</v>
      </c>
      <c r="E27" s="0" t="n">
        <v>1046</v>
      </c>
      <c r="F27" s="6" t="n">
        <v>0.553439153439153</v>
      </c>
      <c r="G27" s="6" t="n">
        <v>0.530940212266389</v>
      </c>
      <c r="H27" s="6" t="n">
        <v>0.575721295221882</v>
      </c>
      <c r="I27" s="6" t="n">
        <v>0.342328042328042</v>
      </c>
      <c r="J27" s="6" t="n">
        <v>0.103174603174603</v>
      </c>
      <c r="K27" s="6" t="n">
        <v>0</v>
      </c>
      <c r="L27" s="6" t="n">
        <v>0.00105820105820106</v>
      </c>
      <c r="M27" s="7" t="n">
        <v>1.8675</v>
      </c>
      <c r="N27" s="7" t="n">
        <v>2.9495</v>
      </c>
      <c r="O27" s="8" t="n">
        <v>1021.36819248099</v>
      </c>
    </row>
    <row r="28" customFormat="false" ht="15" hidden="false" customHeight="false" outlineLevel="0" collapsed="false">
      <c r="A28" s="0" t="s">
        <v>63</v>
      </c>
      <c r="B28" s="0" t="s">
        <v>212</v>
      </c>
      <c r="C28" s="0" t="s">
        <v>181</v>
      </c>
      <c r="D28" s="0" t="n">
        <v>1680</v>
      </c>
      <c r="E28" s="0" t="n">
        <v>1668</v>
      </c>
      <c r="F28" s="6" t="n">
        <v>0.992857142857143</v>
      </c>
      <c r="G28" s="6" t="n">
        <v>0.987556111448827</v>
      </c>
      <c r="H28" s="6" t="n">
        <v>0.995909316653199</v>
      </c>
      <c r="I28" s="6" t="n">
        <v>0</v>
      </c>
      <c r="J28" s="6" t="n">
        <v>0</v>
      </c>
      <c r="K28" s="6" t="n">
        <v>0.000595238095238095</v>
      </c>
      <c r="L28" s="6" t="n">
        <v>0.00654761904761905</v>
      </c>
      <c r="M28" s="7" t="n">
        <v>1.27</v>
      </c>
      <c r="N28" s="7" t="n">
        <v>3.1999</v>
      </c>
      <c r="O28" s="8" t="n">
        <v>307.687468610491</v>
      </c>
    </row>
    <row r="29" customFormat="false" ht="15" hidden="false" customHeight="false" outlineLevel="0" collapsed="false">
      <c r="A29" s="0" t="s">
        <v>63</v>
      </c>
      <c r="B29" s="0" t="s">
        <v>212</v>
      </c>
      <c r="C29" s="0" t="s">
        <v>182</v>
      </c>
      <c r="D29" s="0" t="n">
        <v>1680</v>
      </c>
      <c r="E29" s="0" t="n">
        <v>1675</v>
      </c>
      <c r="F29" s="6" t="n">
        <v>0.99702380952381</v>
      </c>
      <c r="G29" s="6" t="n">
        <v>0.993051630705943</v>
      </c>
      <c r="H29" s="6" t="n">
        <v>0.998728118648153</v>
      </c>
      <c r="I29" s="6" t="n">
        <v>0</v>
      </c>
      <c r="J29" s="6" t="n">
        <v>0</v>
      </c>
      <c r="K29" s="6" t="n">
        <v>0</v>
      </c>
      <c r="L29" s="6" t="n">
        <v>0.00297619047619048</v>
      </c>
      <c r="M29" s="7" t="n">
        <v>1.732</v>
      </c>
      <c r="N29" s="7" t="n">
        <v>3.791</v>
      </c>
      <c r="O29" s="8" t="n">
        <v>308.977500116257</v>
      </c>
    </row>
    <row r="30" customFormat="false" ht="15" hidden="false" customHeight="false" outlineLevel="0" collapsed="false">
      <c r="A30" s="0" t="s">
        <v>63</v>
      </c>
      <c r="B30" s="0" t="s">
        <v>212</v>
      </c>
      <c r="C30" s="0" t="s">
        <v>183</v>
      </c>
      <c r="D30" s="0" t="n">
        <v>1680</v>
      </c>
      <c r="E30" s="0" t="n">
        <v>1677</v>
      </c>
      <c r="F30" s="6" t="n">
        <v>0.998214285714286</v>
      </c>
      <c r="G30" s="6" t="n">
        <v>0.994762744457591</v>
      </c>
      <c r="H30" s="6" t="n">
        <v>0.999392525254239</v>
      </c>
      <c r="I30" s="6" t="n">
        <v>0</v>
      </c>
      <c r="J30" s="6" t="n">
        <v>0</v>
      </c>
      <c r="K30" s="6" t="n">
        <v>0</v>
      </c>
      <c r="L30" s="6" t="n">
        <v>0.00178571428571429</v>
      </c>
      <c r="M30" s="7" t="n">
        <v>2.361</v>
      </c>
      <c r="N30" s="7" t="n">
        <v>4.2584</v>
      </c>
      <c r="O30" s="8" t="n">
        <v>309.349620419457</v>
      </c>
    </row>
    <row r="31" customFormat="false" ht="15" hidden="false" customHeight="false" outlineLevel="0" collapsed="false">
      <c r="A31" s="0" t="s">
        <v>63</v>
      </c>
      <c r="B31" s="0" t="s">
        <v>212</v>
      </c>
      <c r="C31" s="0" t="s">
        <v>184</v>
      </c>
      <c r="D31" s="0" t="n">
        <v>5040</v>
      </c>
      <c r="E31" s="0" t="n">
        <v>5020</v>
      </c>
      <c r="F31" s="6" t="n">
        <v>0.996031746031746</v>
      </c>
      <c r="G31" s="6" t="n">
        <v>0.993878243296489</v>
      </c>
      <c r="H31" s="6" t="n">
        <v>0.997429651860251</v>
      </c>
      <c r="I31" s="6" t="n">
        <v>0</v>
      </c>
      <c r="J31" s="6" t="n">
        <v>0</v>
      </c>
      <c r="K31" s="6" t="n">
        <v>0.000198412698412698</v>
      </c>
      <c r="L31" s="6" t="n">
        <v>0.00376984126984127</v>
      </c>
      <c r="M31" s="7" t="n">
        <v>2.003</v>
      </c>
      <c r="N31" s="7" t="n">
        <v>3.8162</v>
      </c>
      <c r="O31" s="8" t="n">
        <v>308.671529715402</v>
      </c>
    </row>
    <row r="32" customFormat="false" ht="15" hidden="false" customHeight="false" outlineLevel="0" collapsed="false">
      <c r="A32" s="0" t="s">
        <v>63</v>
      </c>
      <c r="B32" s="0" t="s">
        <v>213</v>
      </c>
      <c r="C32" s="0" t="s">
        <v>181</v>
      </c>
      <c r="D32" s="0" t="n">
        <v>630</v>
      </c>
      <c r="E32" s="0" t="n">
        <v>308</v>
      </c>
      <c r="F32" s="6" t="n">
        <v>0.488888888888889</v>
      </c>
      <c r="G32" s="6" t="n">
        <v>0.450040150517312</v>
      </c>
      <c r="H32" s="6" t="n">
        <v>0.52787231215475</v>
      </c>
      <c r="I32" s="6" t="n">
        <v>0.312698412698413</v>
      </c>
      <c r="J32" s="6" t="n">
        <v>0.190476190476191</v>
      </c>
      <c r="K32" s="6" t="n">
        <v>0</v>
      </c>
      <c r="L32" s="6" t="n">
        <v>0.00793650793650794</v>
      </c>
      <c r="M32" s="7" t="n">
        <v>1.7935</v>
      </c>
      <c r="N32" s="7" t="n">
        <v>3.806</v>
      </c>
      <c r="O32" s="8" t="n">
        <v>900.051863219246</v>
      </c>
    </row>
    <row r="33" customFormat="false" ht="15" hidden="false" customHeight="false" outlineLevel="0" collapsed="false">
      <c r="A33" s="0" t="s">
        <v>63</v>
      </c>
      <c r="B33" s="0" t="s">
        <v>213</v>
      </c>
      <c r="C33" s="0" t="s">
        <v>182</v>
      </c>
      <c r="D33" s="0" t="n">
        <v>630</v>
      </c>
      <c r="E33" s="0" t="n">
        <v>333</v>
      </c>
      <c r="F33" s="6" t="n">
        <v>0.528571428571429</v>
      </c>
      <c r="G33" s="6" t="n">
        <v>0.489535845486972</v>
      </c>
      <c r="H33" s="6" t="n">
        <v>0.567260679070583</v>
      </c>
      <c r="I33" s="6" t="n">
        <v>0.33968253968254</v>
      </c>
      <c r="J33" s="6" t="n">
        <v>0.128571428571429</v>
      </c>
      <c r="K33" s="6" t="n">
        <v>0</v>
      </c>
      <c r="L33" s="6" t="n">
        <v>0.00317460317460318</v>
      </c>
      <c r="M33" s="7" t="n">
        <v>2.244</v>
      </c>
      <c r="N33" s="7" t="n">
        <v>3.5806</v>
      </c>
      <c r="O33" s="8" t="n">
        <v>983.81005859375</v>
      </c>
    </row>
    <row r="34" customFormat="false" ht="15" hidden="false" customHeight="false" outlineLevel="0" collapsed="false">
      <c r="A34" s="0" t="s">
        <v>63</v>
      </c>
      <c r="B34" s="0" t="s">
        <v>213</v>
      </c>
      <c r="C34" s="0" t="s">
        <v>183</v>
      </c>
      <c r="D34" s="0" t="n">
        <v>630</v>
      </c>
      <c r="E34" s="0" t="n">
        <v>325</v>
      </c>
      <c r="F34" s="6" t="n">
        <v>0.515873015873016</v>
      </c>
      <c r="G34" s="6" t="n">
        <v>0.476870678205333</v>
      </c>
      <c r="H34" s="6" t="n">
        <v>0.554682946548865</v>
      </c>
      <c r="I34" s="6" t="n">
        <v>0.319047619047619</v>
      </c>
      <c r="J34" s="6" t="n">
        <v>0.165079365079365</v>
      </c>
      <c r="K34" s="6" t="n">
        <v>0</v>
      </c>
      <c r="L34" s="6" t="n">
        <v>0</v>
      </c>
      <c r="M34" s="7" t="n">
        <v>2.911</v>
      </c>
      <c r="N34" s="7" t="n">
        <v>5.0764</v>
      </c>
      <c r="O34" s="8" t="n">
        <v>962.217230902778</v>
      </c>
    </row>
    <row r="35" customFormat="false" ht="15" hidden="false" customHeight="false" outlineLevel="0" collapsed="false">
      <c r="A35" s="0" t="s">
        <v>63</v>
      </c>
      <c r="B35" s="0" t="s">
        <v>213</v>
      </c>
      <c r="C35" s="0" t="s">
        <v>184</v>
      </c>
      <c r="D35" s="0" t="n">
        <v>1890</v>
      </c>
      <c r="E35" s="0" t="n">
        <v>966</v>
      </c>
      <c r="F35" s="6" t="n">
        <v>0.511111111111111</v>
      </c>
      <c r="G35" s="6" t="n">
        <v>0.488574855303053</v>
      </c>
      <c r="H35" s="6" t="n">
        <v>0.53360228981827</v>
      </c>
      <c r="I35" s="6" t="n">
        <v>0.323809523809524</v>
      </c>
      <c r="J35" s="6" t="n">
        <v>0.161375661375661</v>
      </c>
      <c r="K35" s="6" t="n">
        <v>0</v>
      </c>
      <c r="L35" s="6" t="n">
        <v>0.0037037037037037</v>
      </c>
      <c r="M35" s="7" t="n">
        <v>2.455</v>
      </c>
      <c r="N35" s="7" t="n">
        <v>4.338</v>
      </c>
      <c r="O35" s="8" t="n">
        <v>948.693050905258</v>
      </c>
    </row>
    <row r="36" customFormat="false" ht="15" hidden="false" customHeight="false" outlineLevel="0" collapsed="false">
      <c r="A36" s="0" t="s">
        <v>77</v>
      </c>
      <c r="B36" s="0" t="s">
        <v>212</v>
      </c>
      <c r="C36" s="0" t="s">
        <v>181</v>
      </c>
      <c r="D36" s="0" t="n">
        <v>1680</v>
      </c>
      <c r="E36" s="0" t="n">
        <v>1669</v>
      </c>
      <c r="F36" s="6" t="n">
        <v>0.993452380952381</v>
      </c>
      <c r="G36" s="6" t="n">
        <v>0.988313160318383</v>
      </c>
      <c r="H36" s="6" t="n">
        <v>0.99634002796251</v>
      </c>
      <c r="I36" s="6" t="n">
        <v>0</v>
      </c>
      <c r="J36" s="6" t="n">
        <v>0</v>
      </c>
      <c r="K36" s="6" t="n">
        <v>0</v>
      </c>
      <c r="L36" s="6" t="n">
        <v>0.00654761904761905</v>
      </c>
      <c r="M36" s="7" t="n">
        <v>1.194</v>
      </c>
      <c r="N36" s="7" t="n">
        <v>2.023</v>
      </c>
      <c r="O36" s="8" t="n">
        <v>307.875857398624</v>
      </c>
    </row>
    <row r="37" customFormat="false" ht="15" hidden="false" customHeight="false" outlineLevel="0" collapsed="false">
      <c r="A37" s="0" t="s">
        <v>77</v>
      </c>
      <c r="B37" s="0" t="s">
        <v>212</v>
      </c>
      <c r="C37" s="0" t="s">
        <v>182</v>
      </c>
      <c r="D37" s="0" t="n">
        <v>1680</v>
      </c>
      <c r="E37" s="0" t="n">
        <v>1671</v>
      </c>
      <c r="F37" s="6" t="n">
        <v>0.994642857142857</v>
      </c>
      <c r="G37" s="6" t="n">
        <v>0.989849644837864</v>
      </c>
      <c r="H37" s="6" t="n">
        <v>0.997179063800764</v>
      </c>
      <c r="I37" s="6" t="n">
        <v>0</v>
      </c>
      <c r="J37" s="6" t="n">
        <v>0</v>
      </c>
      <c r="K37" s="6" t="n">
        <v>0</v>
      </c>
      <c r="L37" s="6" t="n">
        <v>0.00535714285714286</v>
      </c>
      <c r="M37" s="7" t="n">
        <v>0.979</v>
      </c>
      <c r="N37" s="7" t="n">
        <v>1.997</v>
      </c>
      <c r="O37" s="8" t="n">
        <v>308.244244675409</v>
      </c>
    </row>
    <row r="38" customFormat="false" ht="15" hidden="false" customHeight="false" outlineLevel="0" collapsed="false">
      <c r="A38" s="0" t="s">
        <v>77</v>
      </c>
      <c r="B38" s="0" t="s">
        <v>212</v>
      </c>
      <c r="C38" s="0" t="s">
        <v>183</v>
      </c>
      <c r="D38" s="0" t="n">
        <v>1680</v>
      </c>
      <c r="E38" s="0" t="n">
        <v>1670</v>
      </c>
      <c r="F38" s="6" t="n">
        <v>0.994047619047619</v>
      </c>
      <c r="G38" s="6" t="n">
        <v>0.989077340117419</v>
      </c>
      <c r="H38" s="6" t="n">
        <v>0.996763608342342</v>
      </c>
      <c r="I38" s="6" t="n">
        <v>0</v>
      </c>
      <c r="J38" s="6" t="n">
        <v>0</v>
      </c>
      <c r="K38" s="6" t="n">
        <v>0</v>
      </c>
      <c r="L38" s="6" t="n">
        <v>0.00595238095238095</v>
      </c>
      <c r="M38" s="7" t="n">
        <v>1.8915</v>
      </c>
      <c r="N38" s="7" t="n">
        <v>2.8761</v>
      </c>
      <c r="O38" s="8" t="n">
        <v>308.055062430246</v>
      </c>
    </row>
    <row r="39" customFormat="false" ht="15" hidden="false" customHeight="false" outlineLevel="0" collapsed="false">
      <c r="A39" s="0" t="s">
        <v>77</v>
      </c>
      <c r="B39" s="0" t="s">
        <v>212</v>
      </c>
      <c r="C39" s="0" t="s">
        <v>184</v>
      </c>
      <c r="D39" s="0" t="n">
        <v>5040</v>
      </c>
      <c r="E39" s="0" t="n">
        <v>5010</v>
      </c>
      <c r="F39" s="6" t="n">
        <v>0.994047619047619</v>
      </c>
      <c r="G39" s="6" t="n">
        <v>0.991515366125432</v>
      </c>
      <c r="H39" s="6" t="n">
        <v>0.99582729745068</v>
      </c>
      <c r="I39" s="6" t="n">
        <v>0</v>
      </c>
      <c r="J39" s="6" t="n">
        <v>0</v>
      </c>
      <c r="K39" s="6" t="n">
        <v>0</v>
      </c>
      <c r="L39" s="6" t="n">
        <v>0.00595238095238095</v>
      </c>
      <c r="M39" s="7" t="n">
        <v>1.38</v>
      </c>
      <c r="N39" s="7" t="n">
        <v>2.4285</v>
      </c>
      <c r="O39" s="8" t="n">
        <v>308.058388168093</v>
      </c>
    </row>
    <row r="40" customFormat="false" ht="15" hidden="false" customHeight="false" outlineLevel="0" collapsed="false">
      <c r="A40" s="0" t="s">
        <v>77</v>
      </c>
      <c r="B40" s="0" t="s">
        <v>213</v>
      </c>
      <c r="C40" s="0" t="s">
        <v>181</v>
      </c>
      <c r="D40" s="0" t="n">
        <v>630</v>
      </c>
      <c r="E40" s="0" t="n">
        <v>352</v>
      </c>
      <c r="F40" s="6" t="n">
        <v>0.558730158730159</v>
      </c>
      <c r="G40" s="6" t="n">
        <v>0.519716391697445</v>
      </c>
      <c r="H40" s="6" t="n">
        <v>0.597032019893085</v>
      </c>
      <c r="I40" s="6" t="n">
        <v>0.334920634920635</v>
      </c>
      <c r="J40" s="6" t="n">
        <v>0.103174603174603</v>
      </c>
      <c r="K40" s="6" t="n">
        <v>0</v>
      </c>
      <c r="L40" s="6" t="n">
        <v>0.00317460317460318</v>
      </c>
      <c r="M40" s="7" t="n">
        <v>1.865</v>
      </c>
      <c r="N40" s="7" t="n">
        <v>2.6659</v>
      </c>
      <c r="O40" s="8" t="n">
        <v>1043.24418867808</v>
      </c>
    </row>
    <row r="41" customFormat="false" ht="15" hidden="false" customHeight="false" outlineLevel="0" collapsed="false">
      <c r="A41" s="0" t="s">
        <v>77</v>
      </c>
      <c r="B41" s="0" t="s">
        <v>213</v>
      </c>
      <c r="C41" s="0" t="s">
        <v>182</v>
      </c>
      <c r="D41" s="0" t="n">
        <v>630</v>
      </c>
      <c r="E41" s="0" t="n">
        <v>341</v>
      </c>
      <c r="F41" s="6" t="n">
        <v>0.541269841269841</v>
      </c>
      <c r="G41" s="6" t="n">
        <v>0.502226093666041</v>
      </c>
      <c r="H41" s="6" t="n">
        <v>0.579813330694872</v>
      </c>
      <c r="I41" s="6" t="n">
        <v>0.33015873015873</v>
      </c>
      <c r="J41" s="6" t="n">
        <v>0.125396825396825</v>
      </c>
      <c r="K41" s="6" t="n">
        <v>0</v>
      </c>
      <c r="L41" s="6" t="n">
        <v>0.00317460317460318</v>
      </c>
      <c r="M41" s="7" t="n">
        <v>1.918</v>
      </c>
      <c r="N41" s="7" t="n">
        <v>2.96</v>
      </c>
      <c r="O41" s="8" t="n">
        <v>995.067801339286</v>
      </c>
    </row>
    <row r="42" customFormat="false" ht="15" hidden="false" customHeight="false" outlineLevel="0" collapsed="false">
      <c r="A42" s="0" t="s">
        <v>77</v>
      </c>
      <c r="B42" s="0" t="s">
        <v>213</v>
      </c>
      <c r="C42" s="0" t="s">
        <v>183</v>
      </c>
      <c r="D42" s="0" t="n">
        <v>630</v>
      </c>
      <c r="E42" s="0" t="n">
        <v>339</v>
      </c>
      <c r="F42" s="6" t="n">
        <v>0.538095238095238</v>
      </c>
      <c r="G42" s="6" t="n">
        <v>0.499051173824324</v>
      </c>
      <c r="H42" s="6" t="n">
        <v>0.576677525585749</v>
      </c>
      <c r="I42" s="6" t="n">
        <v>0.334920634920635</v>
      </c>
      <c r="J42" s="6" t="n">
        <v>0.117460317460318</v>
      </c>
      <c r="K42" s="6" t="n">
        <v>0</v>
      </c>
      <c r="L42" s="6" t="n">
        <v>0.00952380952380953</v>
      </c>
      <c r="M42" s="7" t="n">
        <v>2.606</v>
      </c>
      <c r="N42" s="7" t="n">
        <v>3.5174</v>
      </c>
      <c r="O42" s="8" t="n">
        <v>992.600992063492</v>
      </c>
    </row>
    <row r="43" customFormat="false" ht="15" hidden="false" customHeight="false" outlineLevel="0" collapsed="false">
      <c r="A43" s="0" t="s">
        <v>77</v>
      </c>
      <c r="B43" s="0" t="s">
        <v>213</v>
      </c>
      <c r="C43" s="0" t="s">
        <v>184</v>
      </c>
      <c r="D43" s="0" t="n">
        <v>1890</v>
      </c>
      <c r="E43" s="0" t="n">
        <v>1032</v>
      </c>
      <c r="F43" s="6" t="n">
        <v>0.546031746031746</v>
      </c>
      <c r="G43" s="6" t="n">
        <v>0.523514546854877</v>
      </c>
      <c r="H43" s="6" t="n">
        <v>0.568362197219178</v>
      </c>
      <c r="I43" s="6" t="n">
        <v>0.333333333333333</v>
      </c>
      <c r="J43" s="6" t="n">
        <v>0.115343915343915</v>
      </c>
      <c r="K43" s="6" t="n">
        <v>0</v>
      </c>
      <c r="L43" s="6" t="n">
        <v>0.00529100529100529</v>
      </c>
      <c r="M43" s="7" t="n">
        <v>2.136</v>
      </c>
      <c r="N43" s="7" t="n">
        <v>3.2167</v>
      </c>
      <c r="O43" s="8" t="n">
        <v>1010.30432736028</v>
      </c>
    </row>
    <row r="44" customFormat="false" ht="15" hidden="false" customHeight="false" outlineLevel="0" collapsed="false">
      <c r="A44" s="0" t="s">
        <v>91</v>
      </c>
      <c r="B44" s="0" t="s">
        <v>212</v>
      </c>
      <c r="C44" s="0" t="s">
        <v>181</v>
      </c>
      <c r="D44" s="0" t="n">
        <v>1680</v>
      </c>
      <c r="E44" s="0" t="n">
        <v>1667</v>
      </c>
      <c r="F44" s="6" t="n">
        <v>0.992261904761905</v>
      </c>
      <c r="G44" s="6" t="n">
        <v>0.986805387923624</v>
      </c>
      <c r="H44" s="6" t="n">
        <v>0.995472279999534</v>
      </c>
      <c r="I44" s="6" t="n">
        <v>0</v>
      </c>
      <c r="J44" s="6" t="n">
        <v>0</v>
      </c>
      <c r="K44" s="6" t="n">
        <v>0</v>
      </c>
      <c r="L44" s="6" t="n">
        <v>0.00773809523809524</v>
      </c>
      <c r="M44" s="7" t="n">
        <v>1.135</v>
      </c>
      <c r="N44" s="7" t="n">
        <v>2.6234</v>
      </c>
      <c r="O44" s="8" t="n">
        <v>307.505866350446</v>
      </c>
    </row>
    <row r="45" customFormat="false" ht="15" hidden="false" customHeight="false" outlineLevel="0" collapsed="false">
      <c r="A45" s="0" t="s">
        <v>91</v>
      </c>
      <c r="B45" s="0" t="s">
        <v>212</v>
      </c>
      <c r="C45" s="0" t="s">
        <v>182</v>
      </c>
      <c r="D45" s="0" t="n">
        <v>1680</v>
      </c>
      <c r="E45" s="0" t="n">
        <v>1674</v>
      </c>
      <c r="F45" s="6" t="n">
        <v>0.996428571428571</v>
      </c>
      <c r="G45" s="6" t="n">
        <v>0.992229781124185</v>
      </c>
      <c r="H45" s="6" t="n">
        <v>0.998362208051044</v>
      </c>
      <c r="I45" s="6" t="n">
        <v>0</v>
      </c>
      <c r="J45" s="6" t="n">
        <v>0</v>
      </c>
      <c r="K45" s="6" t="n">
        <v>0</v>
      </c>
      <c r="L45" s="6" t="n">
        <v>0.00357142857142857</v>
      </c>
      <c r="M45" s="7" t="n">
        <v>0.924</v>
      </c>
      <c r="N45" s="7" t="n">
        <v>2.261</v>
      </c>
      <c r="O45" s="8" t="n">
        <v>308.79731968471</v>
      </c>
    </row>
    <row r="46" customFormat="false" ht="15" hidden="false" customHeight="false" outlineLevel="0" collapsed="false">
      <c r="A46" s="0" t="s">
        <v>91</v>
      </c>
      <c r="B46" s="0" t="s">
        <v>212</v>
      </c>
      <c r="C46" s="0" t="s">
        <v>183</v>
      </c>
      <c r="D46" s="0" t="n">
        <v>1680</v>
      </c>
      <c r="E46" s="0" t="n">
        <v>1671</v>
      </c>
      <c r="F46" s="6" t="n">
        <v>0.994642857142857</v>
      </c>
      <c r="G46" s="6" t="n">
        <v>0.989849644837864</v>
      </c>
      <c r="H46" s="6" t="n">
        <v>0.997179063800764</v>
      </c>
      <c r="I46" s="6" t="n">
        <v>0</v>
      </c>
      <c r="J46" s="6" t="n">
        <v>0</v>
      </c>
      <c r="K46" s="6" t="n">
        <v>0</v>
      </c>
      <c r="L46" s="6" t="n">
        <v>0.00535714285714286</v>
      </c>
      <c r="M46" s="7" t="n">
        <v>1.862</v>
      </c>
      <c r="N46" s="7" t="n">
        <v>3.109</v>
      </c>
      <c r="O46" s="8" t="n">
        <v>308.240908086868</v>
      </c>
    </row>
    <row r="47" customFormat="false" ht="15" hidden="false" customHeight="false" outlineLevel="0" collapsed="false">
      <c r="A47" s="0" t="s">
        <v>91</v>
      </c>
      <c r="B47" s="0" t="s">
        <v>212</v>
      </c>
      <c r="C47" s="0" t="s">
        <v>184</v>
      </c>
      <c r="D47" s="0" t="n">
        <v>5040</v>
      </c>
      <c r="E47" s="0" t="n">
        <v>5012</v>
      </c>
      <c r="F47" s="6" t="n">
        <v>0.994444444444445</v>
      </c>
      <c r="G47" s="6" t="n">
        <v>0.991982272325184</v>
      </c>
      <c r="H47" s="6" t="n">
        <v>0.996153437567053</v>
      </c>
      <c r="I47" s="6" t="n">
        <v>0</v>
      </c>
      <c r="J47" s="6" t="n">
        <v>0</v>
      </c>
      <c r="K47" s="6" t="n">
        <v>0</v>
      </c>
      <c r="L47" s="6" t="n">
        <v>0.00555555555555556</v>
      </c>
      <c r="M47" s="7" t="n">
        <v>1.296</v>
      </c>
      <c r="N47" s="7" t="n">
        <v>2.7629</v>
      </c>
      <c r="O47" s="8" t="n">
        <v>308.181364707341</v>
      </c>
    </row>
    <row r="48" customFormat="false" ht="15" hidden="false" customHeight="false" outlineLevel="0" collapsed="false">
      <c r="A48" s="0" t="s">
        <v>91</v>
      </c>
      <c r="B48" s="0" t="s">
        <v>213</v>
      </c>
      <c r="C48" s="0" t="s">
        <v>181</v>
      </c>
      <c r="D48" s="0" t="n">
        <v>630</v>
      </c>
      <c r="E48" s="0" t="n">
        <v>301</v>
      </c>
      <c r="F48" s="6" t="n">
        <v>0.477777777777778</v>
      </c>
      <c r="G48" s="6" t="n">
        <v>0.439025058502247</v>
      </c>
      <c r="H48" s="6" t="n">
        <v>0.516799866841877</v>
      </c>
      <c r="I48" s="6" t="n">
        <v>0.320634920634921</v>
      </c>
      <c r="J48" s="6" t="n">
        <v>0.195238095238095</v>
      </c>
      <c r="K48" s="6" t="n">
        <v>0</v>
      </c>
      <c r="L48" s="6" t="n">
        <v>0.00634920634920635</v>
      </c>
      <c r="M48" s="7" t="n">
        <v>1.76</v>
      </c>
      <c r="N48" s="7" t="n">
        <v>2.944</v>
      </c>
      <c r="O48" s="8" t="n">
        <v>900.322321428571</v>
      </c>
    </row>
    <row r="49" customFormat="false" ht="15" hidden="false" customHeight="false" outlineLevel="0" collapsed="false">
      <c r="A49" s="0" t="s">
        <v>91</v>
      </c>
      <c r="B49" s="0" t="s">
        <v>213</v>
      </c>
      <c r="C49" s="0" t="s">
        <v>182</v>
      </c>
      <c r="D49" s="0" t="n">
        <v>630</v>
      </c>
      <c r="E49" s="0" t="n">
        <v>321</v>
      </c>
      <c r="F49" s="6" t="n">
        <v>0.50952380952381</v>
      </c>
      <c r="G49" s="6" t="n">
        <v>0.470547471594312</v>
      </c>
      <c r="H49" s="6" t="n">
        <v>0.548384703258207</v>
      </c>
      <c r="I49" s="6" t="n">
        <v>0.333333333333333</v>
      </c>
      <c r="J49" s="6" t="n">
        <v>0.153968253968254</v>
      </c>
      <c r="K49" s="6" t="n">
        <v>0</v>
      </c>
      <c r="L49" s="6" t="n">
        <v>0.00317460317460318</v>
      </c>
      <c r="M49" s="7" t="n">
        <v>1.93</v>
      </c>
      <c r="N49" s="7" t="n">
        <v>3.512</v>
      </c>
      <c r="O49" s="8" t="n">
        <v>962.002233692956</v>
      </c>
    </row>
    <row r="50" customFormat="false" ht="15" hidden="false" customHeight="false" outlineLevel="0" collapsed="false">
      <c r="A50" s="0" t="s">
        <v>91</v>
      </c>
      <c r="B50" s="0" t="s">
        <v>213</v>
      </c>
      <c r="C50" s="0" t="s">
        <v>183</v>
      </c>
      <c r="D50" s="0" t="n">
        <v>630</v>
      </c>
      <c r="E50" s="0" t="n">
        <v>317</v>
      </c>
      <c r="F50" s="6" t="n">
        <v>0.503174603174603</v>
      </c>
      <c r="G50" s="6" t="n">
        <v>0.464230507314272</v>
      </c>
      <c r="H50" s="6" t="n">
        <v>0.542080217636568</v>
      </c>
      <c r="I50" s="6" t="n">
        <v>0.314285714285714</v>
      </c>
      <c r="J50" s="6" t="n">
        <v>0.173015873015873</v>
      </c>
      <c r="K50" s="6" t="n">
        <v>0</v>
      </c>
      <c r="L50" s="6" t="n">
        <v>0.00952380952380953</v>
      </c>
      <c r="M50" s="7" t="n">
        <v>2.532</v>
      </c>
      <c r="N50" s="7" t="n">
        <v>4.942</v>
      </c>
      <c r="O50" s="8" t="n">
        <v>944.792677331349</v>
      </c>
    </row>
    <row r="51" customFormat="false" ht="15" hidden="false" customHeight="false" outlineLevel="0" collapsed="false">
      <c r="A51" s="0" t="s">
        <v>91</v>
      </c>
      <c r="B51" s="0" t="s">
        <v>213</v>
      </c>
      <c r="C51" s="0" t="s">
        <v>184</v>
      </c>
      <c r="D51" s="0" t="n">
        <v>1890</v>
      </c>
      <c r="E51" s="0" t="n">
        <v>939</v>
      </c>
      <c r="F51" s="6" t="n">
        <v>0.496825396825397</v>
      </c>
      <c r="G51" s="6" t="n">
        <v>0.474313022422794</v>
      </c>
      <c r="H51" s="6" t="n">
        <v>0.519350650399685</v>
      </c>
      <c r="I51" s="6" t="n">
        <v>0.322751322751323</v>
      </c>
      <c r="J51" s="6" t="n">
        <v>0.174074074074074</v>
      </c>
      <c r="K51" s="6" t="n">
        <v>0</v>
      </c>
      <c r="L51" s="6" t="n">
        <v>0.00634920634920635</v>
      </c>
      <c r="M51" s="7" t="n">
        <v>2.128</v>
      </c>
      <c r="N51" s="7" t="n">
        <v>4.1298</v>
      </c>
      <c r="O51" s="8" t="n">
        <v>935.705744150959</v>
      </c>
    </row>
    <row r="52" customFormat="false" ht="15" hidden="false" customHeight="false" outlineLevel="0" collapsed="false">
      <c r="A52" s="0" t="s">
        <v>102</v>
      </c>
      <c r="B52" s="0" t="s">
        <v>212</v>
      </c>
      <c r="C52" s="0" t="s">
        <v>181</v>
      </c>
      <c r="D52" s="0" t="n">
        <v>1680</v>
      </c>
      <c r="E52" s="0" t="n">
        <v>1678</v>
      </c>
      <c r="F52" s="6" t="n">
        <v>0.998809523809524</v>
      </c>
      <c r="G52" s="6" t="n">
        <v>0.995669555296206</v>
      </c>
      <c r="H52" s="6" t="n">
        <v>0.999673474594492</v>
      </c>
      <c r="I52" s="6" t="n">
        <v>0</v>
      </c>
      <c r="J52" s="6" t="n">
        <v>0</v>
      </c>
      <c r="K52" s="6" t="n">
        <v>0</v>
      </c>
      <c r="L52" s="6" t="n">
        <v>0.00119047619047619</v>
      </c>
      <c r="M52" s="7" t="n">
        <v>0.9925</v>
      </c>
      <c r="N52" s="7" t="n">
        <v>1.8969</v>
      </c>
      <c r="O52" s="8" t="n">
        <v>309.534411039807</v>
      </c>
    </row>
    <row r="53" customFormat="false" ht="15" hidden="false" customHeight="false" outlineLevel="0" collapsed="false">
      <c r="A53" s="0" t="s">
        <v>102</v>
      </c>
      <c r="B53" s="0" t="s">
        <v>212</v>
      </c>
      <c r="C53" s="0" t="s">
        <v>182</v>
      </c>
      <c r="D53" s="0" t="n">
        <v>1680</v>
      </c>
      <c r="E53" s="0" t="n">
        <v>1671</v>
      </c>
      <c r="F53" s="6" t="n">
        <v>0.994642857142857</v>
      </c>
      <c r="G53" s="6" t="n">
        <v>0.989849644837864</v>
      </c>
      <c r="H53" s="6" t="n">
        <v>0.997179063800764</v>
      </c>
      <c r="I53" s="6" t="n">
        <v>0</v>
      </c>
      <c r="J53" s="6" t="n">
        <v>0</v>
      </c>
      <c r="K53" s="6" t="n">
        <v>0</v>
      </c>
      <c r="L53" s="6" t="n">
        <v>0.00535714285714286</v>
      </c>
      <c r="M53" s="7" t="n">
        <v>0.834</v>
      </c>
      <c r="N53" s="7" t="n">
        <v>1.787</v>
      </c>
      <c r="O53" s="8" t="n">
        <v>308.242203194754</v>
      </c>
    </row>
    <row r="54" customFormat="false" ht="15" hidden="false" customHeight="false" outlineLevel="0" collapsed="false">
      <c r="A54" s="0" t="s">
        <v>102</v>
      </c>
      <c r="B54" s="0" t="s">
        <v>212</v>
      </c>
      <c r="C54" s="0" t="s">
        <v>183</v>
      </c>
      <c r="D54" s="0" t="n">
        <v>1680</v>
      </c>
      <c r="E54" s="0" t="n">
        <v>1673</v>
      </c>
      <c r="F54" s="6" t="n">
        <v>0.995833333333333</v>
      </c>
      <c r="G54" s="6" t="n">
        <v>0.991423991836976</v>
      </c>
      <c r="H54" s="6" t="n">
        <v>0.997980237159386</v>
      </c>
      <c r="I54" s="6" t="n">
        <v>0</v>
      </c>
      <c r="J54" s="6" t="n">
        <v>0</v>
      </c>
      <c r="K54" s="6" t="n">
        <v>0</v>
      </c>
      <c r="L54" s="6" t="n">
        <v>0.00416666666666667</v>
      </c>
      <c r="M54" s="7" t="n">
        <v>1.083</v>
      </c>
      <c r="N54" s="7" t="n">
        <v>2.257</v>
      </c>
      <c r="O54" s="8" t="n">
        <v>308.611465890067</v>
      </c>
    </row>
    <row r="55" customFormat="false" ht="15" hidden="false" customHeight="false" outlineLevel="0" collapsed="false">
      <c r="A55" s="0" t="s">
        <v>102</v>
      </c>
      <c r="B55" s="0" t="s">
        <v>212</v>
      </c>
      <c r="C55" s="0" t="s">
        <v>184</v>
      </c>
      <c r="D55" s="0" t="n">
        <v>5040</v>
      </c>
      <c r="E55" s="0" t="n">
        <v>5022</v>
      </c>
      <c r="F55" s="6" t="n">
        <v>0.996428571428571</v>
      </c>
      <c r="G55" s="6" t="n">
        <v>0.994361271464489</v>
      </c>
      <c r="H55" s="6" t="n">
        <v>0.997739670008376</v>
      </c>
      <c r="I55" s="6" t="n">
        <v>0</v>
      </c>
      <c r="J55" s="6" t="n">
        <v>0</v>
      </c>
      <c r="K55" s="6" t="n">
        <v>0</v>
      </c>
      <c r="L55" s="6" t="n">
        <v>0.00357142857142857</v>
      </c>
      <c r="M55" s="7" t="n">
        <v>0.9875</v>
      </c>
      <c r="N55" s="7" t="n">
        <v>1.9708</v>
      </c>
      <c r="O55" s="8" t="n">
        <v>308.796026708209</v>
      </c>
    </row>
    <row r="56" customFormat="false" ht="15" hidden="false" customHeight="false" outlineLevel="0" collapsed="false">
      <c r="A56" s="0" t="s">
        <v>102</v>
      </c>
      <c r="B56" s="0" t="s">
        <v>213</v>
      </c>
      <c r="C56" s="0" t="s">
        <v>181</v>
      </c>
      <c r="D56" s="0" t="n">
        <v>630</v>
      </c>
      <c r="E56" s="0" t="n">
        <v>321</v>
      </c>
      <c r="F56" s="6" t="n">
        <v>0.50952380952381</v>
      </c>
      <c r="G56" s="6" t="n">
        <v>0.470547471594312</v>
      </c>
      <c r="H56" s="6" t="n">
        <v>0.548384703258207</v>
      </c>
      <c r="I56" s="6" t="n">
        <v>0.306349206349206</v>
      </c>
      <c r="J56" s="6" t="n">
        <v>0.174603174603175</v>
      </c>
      <c r="K56" s="6" t="n">
        <v>0</v>
      </c>
      <c r="L56" s="6" t="n">
        <v>0.00952380952380953</v>
      </c>
      <c r="M56" s="7" t="n">
        <v>1.6</v>
      </c>
      <c r="N56" s="7" t="n">
        <v>2.573</v>
      </c>
      <c r="O56" s="8" t="n">
        <v>955.157221912202</v>
      </c>
    </row>
    <row r="57" customFormat="false" ht="15" hidden="false" customHeight="false" outlineLevel="0" collapsed="false">
      <c r="A57" s="0" t="s">
        <v>102</v>
      </c>
      <c r="B57" s="0" t="s">
        <v>213</v>
      </c>
      <c r="C57" s="0" t="s">
        <v>182</v>
      </c>
      <c r="D57" s="0" t="n">
        <v>630</v>
      </c>
      <c r="E57" s="0" t="n">
        <v>309</v>
      </c>
      <c r="F57" s="6" t="n">
        <v>0.490476190476191</v>
      </c>
      <c r="G57" s="6" t="n">
        <v>0.451615296741793</v>
      </c>
      <c r="H57" s="6" t="n">
        <v>0.529452528405688</v>
      </c>
      <c r="I57" s="6" t="n">
        <v>0.33015873015873</v>
      </c>
      <c r="J57" s="6" t="n">
        <v>0.165079365079365</v>
      </c>
      <c r="K57" s="6" t="n">
        <v>0</v>
      </c>
      <c r="L57" s="6" t="n">
        <v>0.0142857142857143</v>
      </c>
      <c r="M57" s="7" t="n">
        <v>1.752</v>
      </c>
      <c r="N57" s="7" t="n">
        <v>2.8372</v>
      </c>
      <c r="O57" s="8" t="n">
        <v>926.887034970238</v>
      </c>
    </row>
    <row r="58" customFormat="false" ht="15" hidden="false" customHeight="false" outlineLevel="0" collapsed="false">
      <c r="A58" s="0" t="s">
        <v>102</v>
      </c>
      <c r="B58" s="0" t="s">
        <v>213</v>
      </c>
      <c r="C58" s="0" t="s">
        <v>183</v>
      </c>
      <c r="D58" s="0" t="n">
        <v>630</v>
      </c>
      <c r="E58" s="0" t="n">
        <v>305</v>
      </c>
      <c r="F58" s="6" t="n">
        <v>0.484126984126984</v>
      </c>
      <c r="G58" s="6" t="n">
        <v>0.445317053451136</v>
      </c>
      <c r="H58" s="6" t="n">
        <v>0.523129321794667</v>
      </c>
      <c r="I58" s="6" t="n">
        <v>0.311111111111111</v>
      </c>
      <c r="J58" s="6" t="n">
        <v>0.185714285714286</v>
      </c>
      <c r="K58" s="6" t="n">
        <v>0</v>
      </c>
      <c r="L58" s="6" t="n">
        <v>0.0190476190476191</v>
      </c>
      <c r="M58" s="7" t="n">
        <v>2.204</v>
      </c>
      <c r="N58" s="7" t="n">
        <v>3.4354</v>
      </c>
      <c r="O58" s="8" t="n">
        <v>915.654673549107</v>
      </c>
    </row>
    <row r="59" customFormat="false" ht="15" hidden="false" customHeight="false" outlineLevel="0" collapsed="false">
      <c r="A59" s="0" t="s">
        <v>102</v>
      </c>
      <c r="B59" s="0" t="s">
        <v>213</v>
      </c>
      <c r="C59" s="0" t="s">
        <v>184</v>
      </c>
      <c r="D59" s="0" t="n">
        <v>1890</v>
      </c>
      <c r="E59" s="0" t="n">
        <v>935</v>
      </c>
      <c r="F59" s="6" t="n">
        <v>0.494708994708995</v>
      </c>
      <c r="G59" s="6" t="n">
        <v>0.472201718696193</v>
      </c>
      <c r="H59" s="6" t="n">
        <v>0.517237736007938</v>
      </c>
      <c r="I59" s="6" t="n">
        <v>0.315873015873016</v>
      </c>
      <c r="J59" s="6" t="n">
        <v>0.175132275132275</v>
      </c>
      <c r="K59" s="6" t="n">
        <v>0</v>
      </c>
      <c r="L59" s="6" t="n">
        <v>0.0142857142857143</v>
      </c>
      <c r="M59" s="7" t="n">
        <v>1.81</v>
      </c>
      <c r="N59" s="7" t="n">
        <v>2.9986</v>
      </c>
      <c r="O59" s="8" t="n">
        <v>932.566310143849</v>
      </c>
    </row>
    <row r="60" customFormat="false" ht="15" hidden="false" customHeight="false" outlineLevel="0" collapsed="false">
      <c r="A60" s="0" t="s">
        <v>115</v>
      </c>
      <c r="B60" s="0" t="s">
        <v>212</v>
      </c>
      <c r="C60" s="0" t="s">
        <v>181</v>
      </c>
      <c r="D60" s="0" t="n">
        <v>1680</v>
      </c>
      <c r="E60" s="0" t="n">
        <v>1666</v>
      </c>
      <c r="F60" s="6" t="n">
        <v>0.991666666666667</v>
      </c>
      <c r="G60" s="6" t="n">
        <v>0.986060326034082</v>
      </c>
      <c r="H60" s="6" t="n">
        <v>0.995029581710209</v>
      </c>
      <c r="I60" s="6" t="n">
        <v>0</v>
      </c>
      <c r="J60" s="6" t="n">
        <v>0</v>
      </c>
      <c r="K60" s="6" t="n">
        <v>0</v>
      </c>
      <c r="L60" s="6" t="n">
        <v>0.00833333333333333</v>
      </c>
      <c r="M60" s="7" t="n">
        <v>1.367</v>
      </c>
      <c r="N60" s="7" t="n">
        <v>2.935</v>
      </c>
      <c r="O60" s="8" t="n">
        <v>307.31968296596</v>
      </c>
    </row>
    <row r="61" customFormat="false" ht="15" hidden="false" customHeight="false" outlineLevel="0" collapsed="false">
      <c r="A61" s="0" t="s">
        <v>115</v>
      </c>
      <c r="B61" s="0" t="s">
        <v>212</v>
      </c>
      <c r="C61" s="0" t="s">
        <v>182</v>
      </c>
      <c r="D61" s="0" t="n">
        <v>1680</v>
      </c>
      <c r="E61" s="0" t="n">
        <v>1660</v>
      </c>
      <c r="F61" s="6" t="n">
        <v>0.988095238095238</v>
      </c>
      <c r="G61" s="6" t="n">
        <v>0.981682918024269</v>
      </c>
      <c r="H61" s="6" t="n">
        <v>0.99228042864682</v>
      </c>
      <c r="I61" s="6" t="n">
        <v>0</v>
      </c>
      <c r="J61" s="6" t="n">
        <v>0</v>
      </c>
      <c r="K61" s="6" t="n">
        <v>0</v>
      </c>
      <c r="L61" s="6" t="n">
        <v>0.0119047619047619</v>
      </c>
      <c r="M61" s="7" t="n">
        <v>0.8885</v>
      </c>
      <c r="N61" s="7" t="n">
        <v>2.233</v>
      </c>
      <c r="O61" s="8" t="n">
        <v>306.213230096726</v>
      </c>
    </row>
    <row r="62" customFormat="false" ht="15" hidden="false" customHeight="false" outlineLevel="0" collapsed="false">
      <c r="A62" s="0" t="s">
        <v>115</v>
      </c>
      <c r="B62" s="0" t="s">
        <v>212</v>
      </c>
      <c r="C62" s="0" t="s">
        <v>183</v>
      </c>
      <c r="D62" s="0" t="n">
        <v>1680</v>
      </c>
      <c r="E62" s="0" t="n">
        <v>1675</v>
      </c>
      <c r="F62" s="6" t="n">
        <v>0.99702380952381</v>
      </c>
      <c r="G62" s="6" t="n">
        <v>0.993051630705943</v>
      </c>
      <c r="H62" s="6" t="n">
        <v>0.998728118648153</v>
      </c>
      <c r="I62" s="6" t="n">
        <v>0</v>
      </c>
      <c r="J62" s="6" t="n">
        <v>0</v>
      </c>
      <c r="K62" s="6" t="n">
        <v>0</v>
      </c>
      <c r="L62" s="6" t="n">
        <v>0.00297619047619048</v>
      </c>
      <c r="M62" s="7" t="n">
        <v>1.708</v>
      </c>
      <c r="N62" s="7" t="n">
        <v>2.793</v>
      </c>
      <c r="O62" s="8" t="n">
        <v>308.979682849702</v>
      </c>
    </row>
    <row r="63" customFormat="false" ht="15" hidden="false" customHeight="false" outlineLevel="0" collapsed="false">
      <c r="A63" s="0" t="s">
        <v>115</v>
      </c>
      <c r="B63" s="0" t="s">
        <v>212</v>
      </c>
      <c r="C63" s="0" t="s">
        <v>184</v>
      </c>
      <c r="D63" s="0" t="n">
        <v>5040</v>
      </c>
      <c r="E63" s="0" t="n">
        <v>5001</v>
      </c>
      <c r="F63" s="6" t="n">
        <v>0.992261904761905</v>
      </c>
      <c r="G63" s="6" t="n">
        <v>0.989439811747416</v>
      </c>
      <c r="H63" s="6" t="n">
        <v>0.994334143406132</v>
      </c>
      <c r="I63" s="6" t="n">
        <v>0</v>
      </c>
      <c r="J63" s="6" t="n">
        <v>0</v>
      </c>
      <c r="K63" s="6" t="n">
        <v>0</v>
      </c>
      <c r="L63" s="6" t="n">
        <v>0.00773809523809524</v>
      </c>
      <c r="M63" s="7" t="n">
        <v>1.332</v>
      </c>
      <c r="N63" s="7" t="n">
        <v>2.678</v>
      </c>
      <c r="O63" s="8" t="n">
        <v>307.504198637463</v>
      </c>
    </row>
    <row r="64" customFormat="false" ht="15" hidden="false" customHeight="false" outlineLevel="0" collapsed="false">
      <c r="A64" s="0" t="s">
        <v>115</v>
      </c>
      <c r="B64" s="0" t="s">
        <v>213</v>
      </c>
      <c r="C64" s="0" t="s">
        <v>181</v>
      </c>
      <c r="D64" s="0" t="n">
        <v>630</v>
      </c>
      <c r="E64" s="0" t="n">
        <v>317</v>
      </c>
      <c r="F64" s="6" t="n">
        <v>0.503174603174603</v>
      </c>
      <c r="G64" s="6" t="n">
        <v>0.464230507314272</v>
      </c>
      <c r="H64" s="6" t="n">
        <v>0.542080217636568</v>
      </c>
      <c r="I64" s="6" t="n">
        <v>0.322222222222222</v>
      </c>
      <c r="J64" s="6" t="n">
        <v>0.168253968253968</v>
      </c>
      <c r="K64" s="6" t="n">
        <v>0</v>
      </c>
      <c r="L64" s="6" t="n">
        <v>0.00634920634920635</v>
      </c>
      <c r="M64" s="7" t="n">
        <v>1.813</v>
      </c>
      <c r="N64" s="7" t="n">
        <v>3.10180000000001</v>
      </c>
      <c r="O64" s="8" t="n">
        <v>945.067438616071</v>
      </c>
    </row>
    <row r="65" customFormat="false" ht="15" hidden="false" customHeight="false" outlineLevel="0" collapsed="false">
      <c r="A65" s="0" t="s">
        <v>115</v>
      </c>
      <c r="B65" s="0" t="s">
        <v>213</v>
      </c>
      <c r="C65" s="0" t="s">
        <v>182</v>
      </c>
      <c r="D65" s="0" t="n">
        <v>630</v>
      </c>
      <c r="E65" s="0" t="n">
        <v>313</v>
      </c>
      <c r="F65" s="6" t="n">
        <v>0.496825396825397</v>
      </c>
      <c r="G65" s="6" t="n">
        <v>0.457919782363432</v>
      </c>
      <c r="H65" s="6" t="n">
        <v>0.535769492685728</v>
      </c>
      <c r="I65" s="6" t="n">
        <v>0.326984126984127</v>
      </c>
      <c r="J65" s="6" t="n">
        <v>0.173015873015873</v>
      </c>
      <c r="K65" s="6" t="n">
        <v>0</v>
      </c>
      <c r="L65" s="6" t="n">
        <v>0.00317460317460318</v>
      </c>
      <c r="M65" s="7" t="n">
        <v>1.869</v>
      </c>
      <c r="N65" s="7" t="n">
        <v>3.4712</v>
      </c>
      <c r="O65" s="8" t="n">
        <v>940.825618489583</v>
      </c>
    </row>
    <row r="66" customFormat="false" ht="15" hidden="false" customHeight="false" outlineLevel="0" collapsed="false">
      <c r="A66" s="0" t="s">
        <v>115</v>
      </c>
      <c r="B66" s="0" t="s">
        <v>213</v>
      </c>
      <c r="C66" s="0" t="s">
        <v>183</v>
      </c>
      <c r="D66" s="0" t="n">
        <v>630</v>
      </c>
      <c r="E66" s="0" t="n">
        <v>318</v>
      </c>
      <c r="F66" s="6" t="n">
        <v>0.504761904761905</v>
      </c>
      <c r="G66" s="6" t="n">
        <v>0.465809163381242</v>
      </c>
      <c r="H66" s="6" t="n">
        <v>0.543656924045017</v>
      </c>
      <c r="I66" s="6" t="n">
        <v>0.328571428571429</v>
      </c>
      <c r="J66" s="6" t="n">
        <v>0.157142857142857</v>
      </c>
      <c r="K66" s="6" t="n">
        <v>0</v>
      </c>
      <c r="L66" s="6" t="n">
        <v>0.00952380952380953</v>
      </c>
      <c r="M66" s="7" t="n">
        <v>2.5805</v>
      </c>
      <c r="N66" s="7" t="n">
        <v>5.9374</v>
      </c>
      <c r="O66" s="8" t="n">
        <v>939.02847687252</v>
      </c>
    </row>
    <row r="67" customFormat="false" ht="15" hidden="false" customHeight="false" outlineLevel="0" collapsed="false">
      <c r="A67" s="0" t="s">
        <v>115</v>
      </c>
      <c r="B67" s="0" t="s">
        <v>213</v>
      </c>
      <c r="C67" s="0" t="s">
        <v>184</v>
      </c>
      <c r="D67" s="0" t="n">
        <v>1890</v>
      </c>
      <c r="E67" s="0" t="n">
        <v>948</v>
      </c>
      <c r="F67" s="6" t="n">
        <v>0.501587301587302</v>
      </c>
      <c r="G67" s="6" t="n">
        <v>0.479064928064894</v>
      </c>
      <c r="H67" s="6" t="n">
        <v>0.524103235523867</v>
      </c>
      <c r="I67" s="6" t="n">
        <v>0.325925925925926</v>
      </c>
      <c r="J67" s="6" t="n">
        <v>0.166137566137566</v>
      </c>
      <c r="K67" s="6" t="n">
        <v>0</v>
      </c>
      <c r="L67" s="6" t="n">
        <v>0.00634920634920635</v>
      </c>
      <c r="M67" s="7" t="n">
        <v>2.1115</v>
      </c>
      <c r="N67" s="7" t="n">
        <v>4.59650000000001</v>
      </c>
      <c r="O67" s="8" t="n">
        <v>941.640511326058</v>
      </c>
    </row>
    <row r="68" customFormat="false" ht="15" hidden="false" customHeight="false" outlineLevel="0" collapsed="false">
      <c r="A68" s="0" t="s">
        <v>129</v>
      </c>
      <c r="B68" s="0" t="s">
        <v>212</v>
      </c>
      <c r="C68" s="0" t="s">
        <v>181</v>
      </c>
      <c r="D68" s="0" t="n">
        <v>1680</v>
      </c>
      <c r="E68" s="0" t="n">
        <v>1679</v>
      </c>
      <c r="F68" s="6" t="n">
        <v>0.999404761904762</v>
      </c>
      <c r="G68" s="6" t="n">
        <v>0.99663586923501</v>
      </c>
      <c r="H68" s="6" t="n">
        <v>0.999894920834554</v>
      </c>
      <c r="I68" s="6" t="n">
        <v>0</v>
      </c>
      <c r="J68" s="6" t="n">
        <v>0</v>
      </c>
      <c r="K68" s="6" t="n">
        <v>0</v>
      </c>
      <c r="L68" s="6" t="n">
        <v>0.000595238095238095</v>
      </c>
      <c r="M68" s="7" t="n">
        <v>1.15</v>
      </c>
      <c r="N68" s="7" t="n">
        <v>1.9322</v>
      </c>
      <c r="O68" s="8" t="n">
        <v>309.717278180804</v>
      </c>
    </row>
    <row r="69" customFormat="false" ht="15" hidden="false" customHeight="false" outlineLevel="0" collapsed="false">
      <c r="A69" s="0" t="s">
        <v>129</v>
      </c>
      <c r="B69" s="0" t="s">
        <v>212</v>
      </c>
      <c r="C69" s="0" t="s">
        <v>182</v>
      </c>
      <c r="D69" s="0" t="n">
        <v>1680</v>
      </c>
      <c r="E69" s="0" t="n">
        <v>1679</v>
      </c>
      <c r="F69" s="6" t="n">
        <v>0.999404761904762</v>
      </c>
      <c r="G69" s="6" t="n">
        <v>0.99663586923501</v>
      </c>
      <c r="H69" s="6" t="n">
        <v>0.999894920834554</v>
      </c>
      <c r="I69" s="6" t="n">
        <v>0</v>
      </c>
      <c r="J69" s="6" t="n">
        <v>0</v>
      </c>
      <c r="K69" s="6" t="n">
        <v>0</v>
      </c>
      <c r="L69" s="6" t="n">
        <v>0.000595238095238095</v>
      </c>
      <c r="M69" s="7" t="n">
        <v>0.739</v>
      </c>
      <c r="N69" s="7" t="n">
        <v>1.5982</v>
      </c>
      <c r="O69" s="8" t="n">
        <v>309.717089262463</v>
      </c>
    </row>
    <row r="70" customFormat="false" ht="15" hidden="false" customHeight="false" outlineLevel="0" collapsed="false">
      <c r="A70" s="0" t="s">
        <v>129</v>
      </c>
      <c r="B70" s="0" t="s">
        <v>212</v>
      </c>
      <c r="C70" s="0" t="s">
        <v>183</v>
      </c>
      <c r="D70" s="0" t="n">
        <v>1680</v>
      </c>
      <c r="E70" s="0" t="n">
        <v>1676</v>
      </c>
      <c r="F70" s="6" t="n">
        <v>0.997619047619048</v>
      </c>
      <c r="G70" s="6" t="n">
        <v>0.993893777992359</v>
      </c>
      <c r="H70" s="6" t="n">
        <v>0.999073731540604</v>
      </c>
      <c r="I70" s="6" t="n">
        <v>0</v>
      </c>
      <c r="J70" s="6" t="n">
        <v>0</v>
      </c>
      <c r="K70" s="6" t="n">
        <v>0.000595238095238095</v>
      </c>
      <c r="L70" s="6" t="n">
        <v>0.00178571428571429</v>
      </c>
      <c r="M70" s="7" t="n">
        <v>0.9985</v>
      </c>
      <c r="N70" s="7" t="n">
        <v>1.6985</v>
      </c>
      <c r="O70" s="8" t="n">
        <v>309.16532156808</v>
      </c>
    </row>
    <row r="71" customFormat="false" ht="15" hidden="false" customHeight="false" outlineLevel="0" collapsed="false">
      <c r="A71" s="0" t="s">
        <v>129</v>
      </c>
      <c r="B71" s="0" t="s">
        <v>212</v>
      </c>
      <c r="C71" s="0" t="s">
        <v>184</v>
      </c>
      <c r="D71" s="0" t="n">
        <v>5040</v>
      </c>
      <c r="E71" s="0" t="n">
        <v>5034</v>
      </c>
      <c r="F71" s="6" t="n">
        <v>0.998809523809524</v>
      </c>
      <c r="G71" s="6" t="n">
        <v>0.997404928463106</v>
      </c>
      <c r="H71" s="6" t="n">
        <v>0.999454290906511</v>
      </c>
      <c r="I71" s="6" t="n">
        <v>0</v>
      </c>
      <c r="J71" s="6" t="n">
        <v>0</v>
      </c>
      <c r="K71" s="6" t="n">
        <v>0.000198412698412698</v>
      </c>
      <c r="L71" s="6" t="n">
        <v>0.000992063492063492</v>
      </c>
      <c r="M71" s="7" t="n">
        <v>0.981</v>
      </c>
      <c r="N71" s="7" t="n">
        <v>1.7617</v>
      </c>
      <c r="O71" s="8" t="n">
        <v>309.533229670449</v>
      </c>
    </row>
    <row r="72" customFormat="false" ht="15" hidden="false" customHeight="false" outlineLevel="0" collapsed="false">
      <c r="A72" s="0" t="s">
        <v>129</v>
      </c>
      <c r="B72" s="0" t="s">
        <v>213</v>
      </c>
      <c r="C72" s="0" t="s">
        <v>181</v>
      </c>
      <c r="D72" s="0" t="n">
        <v>630</v>
      </c>
      <c r="E72" s="0" t="n">
        <v>335</v>
      </c>
      <c r="F72" s="6" t="n">
        <v>0.531746031746032</v>
      </c>
      <c r="G72" s="6" t="n">
        <v>0.492706051822595</v>
      </c>
      <c r="H72" s="6" t="n">
        <v>0.570401197685799</v>
      </c>
      <c r="I72" s="6" t="n">
        <v>0.371428571428571</v>
      </c>
      <c r="J72" s="6" t="n">
        <v>0.0968253968253968</v>
      </c>
      <c r="K72" s="6" t="n">
        <v>0</v>
      </c>
      <c r="L72" s="6" t="n">
        <v>0</v>
      </c>
      <c r="M72" s="7" t="n">
        <v>1.927</v>
      </c>
      <c r="N72" s="7" t="n">
        <v>2.7008</v>
      </c>
      <c r="O72" s="8" t="n">
        <v>973.802081783234</v>
      </c>
    </row>
    <row r="73" customFormat="false" ht="15" hidden="false" customHeight="false" outlineLevel="0" collapsed="false">
      <c r="A73" s="0" t="s">
        <v>129</v>
      </c>
      <c r="B73" s="0" t="s">
        <v>213</v>
      </c>
      <c r="C73" s="0" t="s">
        <v>182</v>
      </c>
      <c r="D73" s="0" t="n">
        <v>630</v>
      </c>
      <c r="E73" s="0" t="n">
        <v>353</v>
      </c>
      <c r="F73" s="6" t="n">
        <v>0.56031746031746</v>
      </c>
      <c r="G73" s="6" t="n">
        <v>0.521308799003642</v>
      </c>
      <c r="H73" s="6" t="n">
        <v>0.598594975062308</v>
      </c>
      <c r="I73" s="6" t="n">
        <v>0.333333333333333</v>
      </c>
      <c r="J73" s="6" t="n">
        <v>0.106349206349206</v>
      </c>
      <c r="K73" s="6" t="n">
        <v>0</v>
      </c>
      <c r="L73" s="6" t="n">
        <v>0</v>
      </c>
      <c r="M73" s="7" t="n">
        <v>1.724</v>
      </c>
      <c r="N73" s="7" t="n">
        <v>2.476</v>
      </c>
      <c r="O73" s="8" t="n">
        <v>1036.73761625744</v>
      </c>
    </row>
    <row r="74" customFormat="false" ht="15" hidden="false" customHeight="false" outlineLevel="0" collapsed="false">
      <c r="A74" s="0" t="s">
        <v>129</v>
      </c>
      <c r="B74" s="0" t="s">
        <v>213</v>
      </c>
      <c r="C74" s="0" t="s">
        <v>183</v>
      </c>
      <c r="D74" s="0" t="n">
        <v>630</v>
      </c>
      <c r="E74" s="0" t="n">
        <v>340</v>
      </c>
      <c r="F74" s="6" t="n">
        <v>0.53968253968254</v>
      </c>
      <c r="G74" s="6" t="n">
        <v>0.500638436939876</v>
      </c>
      <c r="H74" s="6" t="n">
        <v>0.578245624945617</v>
      </c>
      <c r="I74" s="6" t="n">
        <v>0.355555555555556</v>
      </c>
      <c r="J74" s="6" t="n">
        <v>0.103174603174603</v>
      </c>
      <c r="K74" s="6" t="n">
        <v>0</v>
      </c>
      <c r="L74" s="6" t="n">
        <v>0.00158730158730159</v>
      </c>
      <c r="M74" s="7" t="n">
        <v>2.094</v>
      </c>
      <c r="N74" s="7" t="n">
        <v>2.928</v>
      </c>
      <c r="O74" s="8" t="n">
        <v>1004.56784629216</v>
      </c>
    </row>
    <row r="75" customFormat="false" ht="15" hidden="false" customHeight="false" outlineLevel="0" collapsed="false">
      <c r="A75" s="0" t="s">
        <v>129</v>
      </c>
      <c r="B75" s="0" t="s">
        <v>213</v>
      </c>
      <c r="C75" s="0" t="s">
        <v>184</v>
      </c>
      <c r="D75" s="0" t="n">
        <v>1890</v>
      </c>
      <c r="E75" s="0" t="n">
        <v>1028</v>
      </c>
      <c r="F75" s="6" t="n">
        <v>0.543915343915344</v>
      </c>
      <c r="G75" s="6" t="n">
        <v>0.521393846689927</v>
      </c>
      <c r="H75" s="6" t="n">
        <v>0.566258679265781</v>
      </c>
      <c r="I75" s="6" t="n">
        <v>0.353439153439153</v>
      </c>
      <c r="J75" s="6" t="n">
        <v>0.102116402116402</v>
      </c>
      <c r="K75" s="6" t="n">
        <v>0</v>
      </c>
      <c r="L75" s="6" t="n">
        <v>0.000529100529100529</v>
      </c>
      <c r="M75" s="7" t="n">
        <v>1.9415</v>
      </c>
      <c r="N75" s="7" t="n">
        <v>2.7644</v>
      </c>
      <c r="O75" s="8" t="n">
        <v>1005.03584811095</v>
      </c>
    </row>
    <row r="76" customFormat="false" ht="15" hidden="false" customHeight="false" outlineLevel="0" collapsed="false">
      <c r="A76" s="0" t="s">
        <v>141</v>
      </c>
      <c r="B76" s="0" t="s">
        <v>212</v>
      </c>
      <c r="C76" s="0" t="s">
        <v>181</v>
      </c>
      <c r="D76" s="0" t="n">
        <v>1680</v>
      </c>
      <c r="E76" s="0" t="n">
        <v>1679</v>
      </c>
      <c r="F76" s="6" t="n">
        <v>0.999404761904762</v>
      </c>
      <c r="G76" s="6" t="n">
        <v>0.99663586923501</v>
      </c>
      <c r="H76" s="6" t="n">
        <v>0.999894920834554</v>
      </c>
      <c r="I76" s="6" t="n">
        <v>0</v>
      </c>
      <c r="J76" s="6" t="n">
        <v>0</v>
      </c>
      <c r="K76" s="6" t="n">
        <v>0</v>
      </c>
      <c r="L76" s="6" t="n">
        <v>0.000595238095238095</v>
      </c>
      <c r="M76" s="7" t="n">
        <v>1.014</v>
      </c>
      <c r="N76" s="7" t="n">
        <v>2.6326</v>
      </c>
      <c r="O76" s="8" t="n">
        <v>309.695542108445</v>
      </c>
    </row>
    <row r="77" customFormat="false" ht="15" hidden="false" customHeight="false" outlineLevel="0" collapsed="false">
      <c r="A77" s="0" t="s">
        <v>141</v>
      </c>
      <c r="B77" s="0" t="s">
        <v>212</v>
      </c>
      <c r="C77" s="0" t="s">
        <v>182</v>
      </c>
      <c r="D77" s="0" t="n">
        <v>1680</v>
      </c>
      <c r="E77" s="0" t="n">
        <v>1675</v>
      </c>
      <c r="F77" s="6" t="n">
        <v>0.99702380952381</v>
      </c>
      <c r="G77" s="6" t="n">
        <v>0.993051630705943</v>
      </c>
      <c r="H77" s="6" t="n">
        <v>0.998728118648153</v>
      </c>
      <c r="I77" s="6" t="n">
        <v>0</v>
      </c>
      <c r="J77" s="6" t="n">
        <v>0</v>
      </c>
      <c r="K77" s="6" t="n">
        <v>0.000595238095238095</v>
      </c>
      <c r="L77" s="6" t="n">
        <v>0.00238095238095238</v>
      </c>
      <c r="M77" s="7" t="n">
        <v>0.86</v>
      </c>
      <c r="N77" s="7" t="n">
        <v>2.619</v>
      </c>
      <c r="O77" s="8" t="n">
        <v>308.974461728051</v>
      </c>
    </row>
    <row r="78" customFormat="false" ht="15" hidden="false" customHeight="false" outlineLevel="0" collapsed="false">
      <c r="A78" s="0" t="s">
        <v>141</v>
      </c>
      <c r="B78" s="0" t="s">
        <v>212</v>
      </c>
      <c r="C78" s="0" t="s">
        <v>183</v>
      </c>
      <c r="D78" s="0" t="n">
        <v>1680</v>
      </c>
      <c r="E78" s="0" t="n">
        <v>1673</v>
      </c>
      <c r="F78" s="6" t="n">
        <v>0.995833333333333</v>
      </c>
      <c r="G78" s="6" t="n">
        <v>0.991423991836976</v>
      </c>
      <c r="H78" s="6" t="n">
        <v>0.997980237159386</v>
      </c>
      <c r="I78" s="6" t="n">
        <v>0</v>
      </c>
      <c r="J78" s="6" t="n">
        <v>0</v>
      </c>
      <c r="K78" s="6" t="n">
        <v>0</v>
      </c>
      <c r="L78" s="6" t="n">
        <v>0.00416666666666667</v>
      </c>
      <c r="M78" s="7" t="n">
        <v>1.607</v>
      </c>
      <c r="N78" s="7" t="n">
        <v>3.6072</v>
      </c>
      <c r="O78" s="8" t="n">
        <v>308.603559802827</v>
      </c>
    </row>
    <row r="79" customFormat="false" ht="15" hidden="false" customHeight="false" outlineLevel="0" collapsed="false">
      <c r="A79" s="0" t="s">
        <v>141</v>
      </c>
      <c r="B79" s="0" t="s">
        <v>212</v>
      </c>
      <c r="C79" s="0" t="s">
        <v>184</v>
      </c>
      <c r="D79" s="0" t="n">
        <v>5040</v>
      </c>
      <c r="E79" s="0" t="n">
        <v>5027</v>
      </c>
      <c r="F79" s="6" t="n">
        <v>0.997420634920635</v>
      </c>
      <c r="G79" s="6" t="n">
        <v>0.995591600453367</v>
      </c>
      <c r="H79" s="6" t="n">
        <v>0.998491956809811</v>
      </c>
      <c r="I79" s="6" t="n">
        <v>0</v>
      </c>
      <c r="J79" s="6" t="n">
        <v>0</v>
      </c>
      <c r="K79" s="6" t="n">
        <v>0.000198412698412698</v>
      </c>
      <c r="L79" s="6" t="n">
        <v>0.00238095238095238</v>
      </c>
      <c r="M79" s="7" t="n">
        <v>1.287</v>
      </c>
      <c r="N79" s="7" t="n">
        <v>3.042</v>
      </c>
      <c r="O79" s="8" t="n">
        <v>309.091187879774</v>
      </c>
    </row>
    <row r="80" customFormat="false" ht="15" hidden="false" customHeight="false" outlineLevel="0" collapsed="false">
      <c r="A80" s="0" t="s">
        <v>141</v>
      </c>
      <c r="B80" s="0" t="s">
        <v>213</v>
      </c>
      <c r="C80" s="0" t="s">
        <v>181</v>
      </c>
      <c r="D80" s="0" t="n">
        <v>630</v>
      </c>
      <c r="E80" s="0" t="n">
        <v>308</v>
      </c>
      <c r="F80" s="6" t="n">
        <v>0.488888888888889</v>
      </c>
      <c r="G80" s="6" t="n">
        <v>0.450040150517312</v>
      </c>
      <c r="H80" s="6" t="n">
        <v>0.52787231215475</v>
      </c>
      <c r="I80" s="6" t="n">
        <v>0.315873015873016</v>
      </c>
      <c r="J80" s="6" t="n">
        <v>0.193650793650794</v>
      </c>
      <c r="K80" s="6" t="n">
        <v>0</v>
      </c>
      <c r="L80" s="6" t="n">
        <v>0.00158730158730159</v>
      </c>
      <c r="M80" s="7" t="n">
        <v>1.7055</v>
      </c>
      <c r="N80" s="7" t="n">
        <v>2.6115</v>
      </c>
      <c r="O80" s="8" t="n">
        <v>904.949237351191</v>
      </c>
    </row>
    <row r="81" customFormat="false" ht="15" hidden="false" customHeight="false" outlineLevel="0" collapsed="false">
      <c r="A81" s="0" t="s">
        <v>141</v>
      </c>
      <c r="B81" s="0" t="s">
        <v>213</v>
      </c>
      <c r="C81" s="0" t="s">
        <v>182</v>
      </c>
      <c r="D81" s="0" t="n">
        <v>630</v>
      </c>
      <c r="E81" s="0" t="n">
        <v>297</v>
      </c>
      <c r="F81" s="6" t="n">
        <v>0.471428571428571</v>
      </c>
      <c r="G81" s="6" t="n">
        <v>0.432739320929417</v>
      </c>
      <c r="H81" s="6" t="n">
        <v>0.510464154513028</v>
      </c>
      <c r="I81" s="6" t="n">
        <v>0.326984126984127</v>
      </c>
      <c r="J81" s="6" t="n">
        <v>0.196825396825397</v>
      </c>
      <c r="K81" s="6" t="n">
        <v>0</v>
      </c>
      <c r="L81" s="6" t="n">
        <v>0.00476190476190476</v>
      </c>
      <c r="M81" s="7" t="n">
        <v>1.96</v>
      </c>
      <c r="N81" s="7" t="n">
        <v>2.7514</v>
      </c>
      <c r="O81" s="8" t="n">
        <v>881.799711681548</v>
      </c>
    </row>
    <row r="82" customFormat="false" ht="15" hidden="false" customHeight="false" outlineLevel="0" collapsed="false">
      <c r="A82" s="0" t="s">
        <v>141</v>
      </c>
      <c r="B82" s="0" t="s">
        <v>213</v>
      </c>
      <c r="C82" s="0" t="s">
        <v>183</v>
      </c>
      <c r="D82" s="0" t="n">
        <v>630</v>
      </c>
      <c r="E82" s="0" t="n">
        <v>328</v>
      </c>
      <c r="F82" s="6" t="n">
        <v>0.520634920634921</v>
      </c>
      <c r="G82" s="6" t="n">
        <v>0.481617183195672</v>
      </c>
      <c r="H82" s="6" t="n">
        <v>0.559402528984784</v>
      </c>
      <c r="I82" s="6" t="n">
        <v>0.322222222222222</v>
      </c>
      <c r="J82" s="6" t="n">
        <v>0.157142857142857</v>
      </c>
      <c r="K82" s="6" t="n">
        <v>0</v>
      </c>
      <c r="L82" s="6" t="n">
        <v>0</v>
      </c>
      <c r="M82" s="7" t="n">
        <v>2.5135</v>
      </c>
      <c r="N82" s="7" t="n">
        <v>3.5272</v>
      </c>
      <c r="O82" s="8" t="n">
        <v>970.841243489583</v>
      </c>
    </row>
    <row r="83" customFormat="false" ht="15" hidden="false" customHeight="false" outlineLevel="0" collapsed="false">
      <c r="A83" s="0" t="s">
        <v>141</v>
      </c>
      <c r="B83" s="0" t="s">
        <v>213</v>
      </c>
      <c r="C83" s="0" t="s">
        <v>184</v>
      </c>
      <c r="D83" s="0" t="n">
        <v>1890</v>
      </c>
      <c r="E83" s="0" t="n">
        <v>933</v>
      </c>
      <c r="F83" s="6" t="n">
        <v>0.493650793650794</v>
      </c>
      <c r="G83" s="6" t="n">
        <v>0.471146217849458</v>
      </c>
      <c r="H83" s="6" t="n">
        <v>0.5161811277955</v>
      </c>
      <c r="I83" s="6" t="n">
        <v>0.321693121693122</v>
      </c>
      <c r="J83" s="6" t="n">
        <v>0.182539682539683</v>
      </c>
      <c r="K83" s="6" t="n">
        <v>0</v>
      </c>
      <c r="L83" s="6" t="n">
        <v>0.00211640211640212</v>
      </c>
      <c r="M83" s="7" t="n">
        <v>2.005</v>
      </c>
      <c r="N83" s="7" t="n">
        <v>3.1704</v>
      </c>
      <c r="O83" s="8" t="n">
        <v>919.196730840774</v>
      </c>
    </row>
    <row r="84" customFormat="false" ht="15" hidden="false" customHeight="false" outlineLevel="0" collapsed="false">
      <c r="A84" s="0" t="s">
        <v>152</v>
      </c>
      <c r="B84" s="0" t="s">
        <v>212</v>
      </c>
      <c r="C84" s="0" t="s">
        <v>181</v>
      </c>
      <c r="D84" s="0" t="n">
        <v>1680</v>
      </c>
      <c r="E84" s="0" t="n">
        <v>1635</v>
      </c>
      <c r="F84" s="6" t="n">
        <v>0.973214285714286</v>
      </c>
      <c r="G84" s="6" t="n">
        <v>0.96434756978264</v>
      </c>
      <c r="H84" s="6" t="n">
        <v>0.979921772416769</v>
      </c>
      <c r="I84" s="6" t="n">
        <v>0</v>
      </c>
      <c r="J84" s="6" t="n">
        <v>0</v>
      </c>
      <c r="K84" s="6" t="n">
        <v>0</v>
      </c>
      <c r="L84" s="6" t="n">
        <v>0.0267857142857143</v>
      </c>
      <c r="M84" s="7" t="n">
        <v>1.43</v>
      </c>
      <c r="N84" s="7" t="n">
        <v>4.9972</v>
      </c>
      <c r="O84" s="8" t="n">
        <v>301.606392996652</v>
      </c>
    </row>
    <row r="85" customFormat="false" ht="15" hidden="false" customHeight="false" outlineLevel="0" collapsed="false">
      <c r="A85" s="0" t="s">
        <v>152</v>
      </c>
      <c r="B85" s="0" t="s">
        <v>212</v>
      </c>
      <c r="C85" s="0" t="s">
        <v>182</v>
      </c>
      <c r="D85" s="0" t="n">
        <v>1680</v>
      </c>
      <c r="E85" s="0" t="n">
        <v>1658</v>
      </c>
      <c r="F85" s="6" t="n">
        <v>0.986904761904762</v>
      </c>
      <c r="G85" s="6" t="n">
        <v>0.98025145182306</v>
      </c>
      <c r="H85" s="6" t="n">
        <v>0.991336374490294</v>
      </c>
      <c r="I85" s="6" t="n">
        <v>0</v>
      </c>
      <c r="J85" s="6" t="n">
        <v>0</v>
      </c>
      <c r="K85" s="6" t="n">
        <v>0.000595238095238095</v>
      </c>
      <c r="L85" s="6" t="n">
        <v>0.0125</v>
      </c>
      <c r="M85" s="7" t="n">
        <v>1.1505</v>
      </c>
      <c r="N85" s="7" t="n">
        <v>4.5606</v>
      </c>
      <c r="O85" s="8" t="n">
        <v>305.846437872024</v>
      </c>
    </row>
    <row r="86" customFormat="false" ht="15" hidden="false" customHeight="false" outlineLevel="0" collapsed="false">
      <c r="A86" s="0" t="s">
        <v>152</v>
      </c>
      <c r="B86" s="0" t="s">
        <v>212</v>
      </c>
      <c r="C86" s="0" t="s">
        <v>183</v>
      </c>
      <c r="D86" s="0" t="n">
        <v>1680</v>
      </c>
      <c r="E86" s="0" t="n">
        <v>1641</v>
      </c>
      <c r="F86" s="6" t="n">
        <v>0.976785714285714</v>
      </c>
      <c r="G86" s="6" t="n">
        <v>0.968423614986</v>
      </c>
      <c r="H86" s="6" t="n">
        <v>0.982972288286612</v>
      </c>
      <c r="I86" s="6" t="n">
        <v>0</v>
      </c>
      <c r="J86" s="6" t="n">
        <v>0</v>
      </c>
      <c r="K86" s="6" t="n">
        <v>0.000595238095238095</v>
      </c>
      <c r="L86" s="6" t="n">
        <v>0.0226190476190476</v>
      </c>
      <c r="M86" s="7" t="n">
        <v>1.792</v>
      </c>
      <c r="N86" s="7" t="n">
        <v>5.158</v>
      </c>
      <c r="O86" s="8" t="n">
        <v>302.708608863467</v>
      </c>
    </row>
    <row r="87" customFormat="false" ht="15" hidden="false" customHeight="false" outlineLevel="0" collapsed="false">
      <c r="A87" s="0" t="s">
        <v>152</v>
      </c>
      <c r="B87" s="0" t="s">
        <v>212</v>
      </c>
      <c r="C87" s="0" t="s">
        <v>184</v>
      </c>
      <c r="D87" s="0" t="n">
        <v>5040</v>
      </c>
      <c r="E87" s="0" t="n">
        <v>4934</v>
      </c>
      <c r="F87" s="6" t="n">
        <v>0.978968253968254</v>
      </c>
      <c r="G87" s="6" t="n">
        <v>0.974626664788774</v>
      </c>
      <c r="H87" s="6" t="n">
        <v>0.982580238774573</v>
      </c>
      <c r="I87" s="6" t="n">
        <v>0</v>
      </c>
      <c r="J87" s="6" t="n">
        <v>0</v>
      </c>
      <c r="K87" s="6" t="n">
        <v>0.000396825396825397</v>
      </c>
      <c r="L87" s="6" t="n">
        <v>0.0206349206349206</v>
      </c>
      <c r="M87" s="7" t="n">
        <v>1.473</v>
      </c>
      <c r="N87" s="7" t="n">
        <v>4.9495</v>
      </c>
      <c r="O87" s="8" t="n">
        <v>303.387146577381</v>
      </c>
    </row>
    <row r="88" customFormat="false" ht="15" hidden="false" customHeight="false" outlineLevel="0" collapsed="false">
      <c r="A88" s="0" t="s">
        <v>152</v>
      </c>
      <c r="B88" s="0" t="s">
        <v>213</v>
      </c>
      <c r="C88" s="0" t="s">
        <v>181</v>
      </c>
      <c r="D88" s="0" t="n">
        <v>630</v>
      </c>
      <c r="E88" s="0" t="n">
        <v>317</v>
      </c>
      <c r="F88" s="6" t="n">
        <v>0.503174603174603</v>
      </c>
      <c r="G88" s="6" t="n">
        <v>0.464230507314272</v>
      </c>
      <c r="H88" s="6" t="n">
        <v>0.542080217636568</v>
      </c>
      <c r="I88" s="6" t="n">
        <v>0.347619047619048</v>
      </c>
      <c r="J88" s="6" t="n">
        <v>0.131746031746032</v>
      </c>
      <c r="K88" s="6" t="n">
        <v>0</v>
      </c>
      <c r="L88" s="6" t="n">
        <v>0.0174603174603175</v>
      </c>
      <c r="M88" s="7" t="n">
        <v>2.163</v>
      </c>
      <c r="N88" s="7" t="n">
        <v>4.8162</v>
      </c>
      <c r="O88" s="8" t="n">
        <v>928.452934337798</v>
      </c>
    </row>
    <row r="89" customFormat="false" ht="15" hidden="false" customHeight="false" outlineLevel="0" collapsed="false">
      <c r="A89" s="0" t="s">
        <v>152</v>
      </c>
      <c r="B89" s="0" t="s">
        <v>213</v>
      </c>
      <c r="C89" s="0" t="s">
        <v>182</v>
      </c>
      <c r="D89" s="0" t="n">
        <v>630</v>
      </c>
      <c r="E89" s="0" t="n">
        <v>306</v>
      </c>
      <c r="F89" s="6" t="n">
        <v>0.485714285714286</v>
      </c>
      <c r="G89" s="6" t="n">
        <v>0.44689102877809</v>
      </c>
      <c r="H89" s="6" t="n">
        <v>0.524710708943133</v>
      </c>
      <c r="I89" s="6" t="n">
        <v>0.30952380952381</v>
      </c>
      <c r="J89" s="6" t="n">
        <v>0.174603174603175</v>
      </c>
      <c r="K89" s="6" t="n">
        <v>0</v>
      </c>
      <c r="L89" s="6" t="n">
        <v>0.0301587301587302</v>
      </c>
      <c r="M89" s="7" t="n">
        <v>1.806</v>
      </c>
      <c r="N89" s="7" t="n">
        <v>3.494</v>
      </c>
      <c r="O89" s="8" t="n">
        <v>887.809635416667</v>
      </c>
    </row>
    <row r="90" customFormat="false" ht="15" hidden="false" customHeight="false" outlineLevel="0" collapsed="false">
      <c r="A90" s="0" t="s">
        <v>152</v>
      </c>
      <c r="B90" s="0" t="s">
        <v>213</v>
      </c>
      <c r="C90" s="0" t="s">
        <v>183</v>
      </c>
      <c r="D90" s="0" t="n">
        <v>630</v>
      </c>
      <c r="E90" s="0" t="n">
        <v>309</v>
      </c>
      <c r="F90" s="6" t="n">
        <v>0.490476190476191</v>
      </c>
      <c r="G90" s="6" t="n">
        <v>0.451615296741793</v>
      </c>
      <c r="H90" s="6" t="n">
        <v>0.529452528405688</v>
      </c>
      <c r="I90" s="6" t="n">
        <v>0.33015873015873</v>
      </c>
      <c r="J90" s="6" t="n">
        <v>0.152380952380952</v>
      </c>
      <c r="K90" s="6" t="n">
        <v>0</v>
      </c>
      <c r="L90" s="6" t="n">
        <v>0.026984126984127</v>
      </c>
      <c r="M90" s="7" t="n">
        <v>2.408</v>
      </c>
      <c r="N90" s="7" t="n">
        <v>4.1336</v>
      </c>
      <c r="O90" s="8" t="n">
        <v>892.284085131448</v>
      </c>
    </row>
    <row r="91" customFormat="false" ht="15" hidden="false" customHeight="false" outlineLevel="0" collapsed="false">
      <c r="A91" s="0" t="s">
        <v>152</v>
      </c>
      <c r="B91" s="0" t="s">
        <v>213</v>
      </c>
      <c r="C91" s="0" t="s">
        <v>184</v>
      </c>
      <c r="D91" s="0" t="n">
        <v>1890</v>
      </c>
      <c r="E91" s="0" t="n">
        <v>932</v>
      </c>
      <c r="F91" s="6" t="n">
        <v>0.493121693121693</v>
      </c>
      <c r="G91" s="6" t="n">
        <v>0.470618505183259</v>
      </c>
      <c r="H91" s="6" t="n">
        <v>0.515652785932112</v>
      </c>
      <c r="I91" s="6" t="n">
        <v>0.329100529100529</v>
      </c>
      <c r="J91" s="6" t="n">
        <v>0.152910052910053</v>
      </c>
      <c r="K91" s="6" t="n">
        <v>0</v>
      </c>
      <c r="L91" s="6" t="n">
        <v>0.0248677248677249</v>
      </c>
      <c r="M91" s="7" t="n">
        <v>2.11</v>
      </c>
      <c r="N91" s="7" t="n">
        <v>4.262</v>
      </c>
      <c r="O91" s="8" t="n">
        <v>902.848884961971</v>
      </c>
    </row>
    <row r="92" customFormat="false" ht="15" hidden="false" customHeight="false" outlineLevel="0" collapsed="false">
      <c r="A92" s="0" t="s">
        <v>163</v>
      </c>
      <c r="B92" s="0" t="s">
        <v>212</v>
      </c>
      <c r="C92" s="0" t="s">
        <v>181</v>
      </c>
      <c r="D92" s="0" t="n">
        <v>1680</v>
      </c>
      <c r="E92" s="0" t="n">
        <v>1675</v>
      </c>
      <c r="F92" s="6" t="n">
        <v>0.99702380952381</v>
      </c>
      <c r="G92" s="6" t="n">
        <v>0.993051630705943</v>
      </c>
      <c r="H92" s="6" t="n">
        <v>0.998728118648153</v>
      </c>
      <c r="I92" s="6" t="n">
        <v>0</v>
      </c>
      <c r="J92" s="6" t="n">
        <v>0</v>
      </c>
      <c r="K92" s="6" t="n">
        <v>0.00119047619047619</v>
      </c>
      <c r="L92" s="6" t="n">
        <v>0.00178571428571429</v>
      </c>
      <c r="M92" s="7" t="n">
        <v>1.74</v>
      </c>
      <c r="N92" s="7" t="n">
        <v>4.9754</v>
      </c>
      <c r="O92" s="8" t="n">
        <v>308.983189755394</v>
      </c>
    </row>
    <row r="93" customFormat="false" ht="15" hidden="false" customHeight="false" outlineLevel="0" collapsed="false">
      <c r="A93" s="0" t="s">
        <v>163</v>
      </c>
      <c r="B93" s="0" t="s">
        <v>212</v>
      </c>
      <c r="C93" s="0" t="s">
        <v>182</v>
      </c>
      <c r="D93" s="0" t="n">
        <v>1680</v>
      </c>
      <c r="E93" s="0" t="n">
        <v>1673</v>
      </c>
      <c r="F93" s="6" t="n">
        <v>0.995833333333333</v>
      </c>
      <c r="G93" s="6" t="n">
        <v>0.991423991836976</v>
      </c>
      <c r="H93" s="6" t="n">
        <v>0.997980237159386</v>
      </c>
      <c r="I93" s="6" t="n">
        <v>0</v>
      </c>
      <c r="J93" s="6" t="n">
        <v>0</v>
      </c>
      <c r="K93" s="6" t="n">
        <v>0</v>
      </c>
      <c r="L93" s="6" t="n">
        <v>0.00416666666666667</v>
      </c>
      <c r="M93" s="7" t="n">
        <v>1.31</v>
      </c>
      <c r="N93" s="7" t="n">
        <v>4.4048</v>
      </c>
      <c r="O93" s="8" t="n">
        <v>308.615945289249</v>
      </c>
    </row>
    <row r="94" customFormat="false" ht="15" hidden="false" customHeight="false" outlineLevel="0" collapsed="false">
      <c r="A94" s="0" t="s">
        <v>163</v>
      </c>
      <c r="B94" s="0" t="s">
        <v>212</v>
      </c>
      <c r="C94" s="0" t="s">
        <v>183</v>
      </c>
      <c r="D94" s="0" t="n">
        <v>1680</v>
      </c>
      <c r="E94" s="0" t="n">
        <v>1670</v>
      </c>
      <c r="F94" s="6" t="n">
        <v>0.994047619047619</v>
      </c>
      <c r="G94" s="6" t="n">
        <v>0.989077340117419</v>
      </c>
      <c r="H94" s="6" t="n">
        <v>0.996763608342342</v>
      </c>
      <c r="I94" s="6" t="n">
        <v>0</v>
      </c>
      <c r="J94" s="6" t="n">
        <v>0</v>
      </c>
      <c r="K94" s="6" t="n">
        <v>0</v>
      </c>
      <c r="L94" s="6" t="n">
        <v>0.00595238095238095</v>
      </c>
      <c r="M94" s="7" t="n">
        <v>1.984</v>
      </c>
      <c r="N94" s="7" t="n">
        <v>4.5417</v>
      </c>
      <c r="O94" s="8" t="n">
        <v>308.055584426153</v>
      </c>
    </row>
    <row r="95" customFormat="false" ht="15" hidden="false" customHeight="false" outlineLevel="0" collapsed="false">
      <c r="A95" s="0" t="s">
        <v>163</v>
      </c>
      <c r="B95" s="0" t="s">
        <v>212</v>
      </c>
      <c r="C95" s="0" t="s">
        <v>184</v>
      </c>
      <c r="D95" s="0" t="n">
        <v>5040</v>
      </c>
      <c r="E95" s="0" t="n">
        <v>5018</v>
      </c>
      <c r="F95" s="6" t="n">
        <v>0.995634920634921</v>
      </c>
      <c r="G95" s="6" t="n">
        <v>0.993399302378107</v>
      </c>
      <c r="H95" s="6" t="n">
        <v>0.997115546462507</v>
      </c>
      <c r="I95" s="6" t="n">
        <v>0</v>
      </c>
      <c r="J95" s="6" t="n">
        <v>0</v>
      </c>
      <c r="K95" s="6" t="n">
        <v>0.000396825396825397</v>
      </c>
      <c r="L95" s="6" t="n">
        <v>0.00396825396825397</v>
      </c>
      <c r="M95" s="7" t="n">
        <v>1.784</v>
      </c>
      <c r="N95" s="7" t="n">
        <v>4.6289</v>
      </c>
      <c r="O95" s="8" t="n">
        <v>308.551573156932</v>
      </c>
    </row>
    <row r="96" customFormat="false" ht="15" hidden="false" customHeight="false" outlineLevel="0" collapsed="false">
      <c r="A96" s="0" t="s">
        <v>163</v>
      </c>
      <c r="B96" s="0" t="s">
        <v>213</v>
      </c>
      <c r="C96" s="0" t="s">
        <v>181</v>
      </c>
      <c r="D96" s="0" t="n">
        <v>630</v>
      </c>
      <c r="E96" s="0" t="n">
        <v>312</v>
      </c>
      <c r="F96" s="6" t="n">
        <v>0.495238095238095</v>
      </c>
      <c r="G96" s="6" t="n">
        <v>0.456343075954983</v>
      </c>
      <c r="H96" s="6" t="n">
        <v>0.534190836618758</v>
      </c>
      <c r="I96" s="6" t="n">
        <v>0.315873015873016</v>
      </c>
      <c r="J96" s="6" t="n">
        <v>0.180952380952381</v>
      </c>
      <c r="K96" s="6" t="n">
        <v>0</v>
      </c>
      <c r="L96" s="6" t="n">
        <v>0.00793650793650794</v>
      </c>
      <c r="M96" s="7" t="n">
        <v>2.0455</v>
      </c>
      <c r="N96" s="7" t="n">
        <v>3.32000000000001</v>
      </c>
      <c r="O96" s="8" t="n">
        <v>906.792282056052</v>
      </c>
    </row>
    <row r="97" customFormat="false" ht="15" hidden="false" customHeight="false" outlineLevel="0" collapsed="false">
      <c r="A97" s="0" t="s">
        <v>163</v>
      </c>
      <c r="B97" s="0" t="s">
        <v>213</v>
      </c>
      <c r="C97" s="0" t="s">
        <v>182</v>
      </c>
      <c r="D97" s="0" t="n">
        <v>630</v>
      </c>
      <c r="E97" s="0" t="n">
        <v>321</v>
      </c>
      <c r="F97" s="6" t="n">
        <v>0.50952380952381</v>
      </c>
      <c r="G97" s="6" t="n">
        <v>0.470547471594312</v>
      </c>
      <c r="H97" s="6" t="n">
        <v>0.548384703258207</v>
      </c>
      <c r="I97" s="6" t="n">
        <v>0.307936507936508</v>
      </c>
      <c r="J97" s="6" t="n">
        <v>0.171428571428571</v>
      </c>
      <c r="K97" s="6" t="n">
        <v>0</v>
      </c>
      <c r="L97" s="6" t="n">
        <v>0.0111111111111111</v>
      </c>
      <c r="M97" s="7" t="n">
        <v>1.934</v>
      </c>
      <c r="N97" s="7" t="n">
        <v>3.691</v>
      </c>
      <c r="O97" s="8" t="n">
        <v>917.787062872024</v>
      </c>
    </row>
    <row r="98" customFormat="false" ht="15" hidden="false" customHeight="false" outlineLevel="0" collapsed="false">
      <c r="A98" s="0" t="s">
        <v>163</v>
      </c>
      <c r="B98" s="0" t="s">
        <v>213</v>
      </c>
      <c r="C98" s="0" t="s">
        <v>183</v>
      </c>
      <c r="D98" s="0" t="n">
        <v>630</v>
      </c>
      <c r="E98" s="0" t="n">
        <v>314</v>
      </c>
      <c r="F98" s="6" t="n">
        <v>0.498412698412698</v>
      </c>
      <c r="G98" s="6" t="n">
        <v>0.459496878715304</v>
      </c>
      <c r="H98" s="6" t="n">
        <v>0.537347758809276</v>
      </c>
      <c r="I98" s="6" t="n">
        <v>0.342857142857143</v>
      </c>
      <c r="J98" s="6" t="n">
        <v>0.152380952380952</v>
      </c>
      <c r="K98" s="6" t="n">
        <v>0</v>
      </c>
      <c r="L98" s="6" t="n">
        <v>0.00634920634920635</v>
      </c>
      <c r="M98" s="7" t="n">
        <v>2.9335</v>
      </c>
      <c r="N98" s="7" t="n">
        <v>4.3738</v>
      </c>
      <c r="O98" s="8" t="n">
        <v>919.382479228671</v>
      </c>
    </row>
    <row r="99" customFormat="false" ht="15" hidden="false" customHeight="false" outlineLevel="0" collapsed="false">
      <c r="A99" s="0" t="s">
        <v>163</v>
      </c>
      <c r="B99" s="0" t="s">
        <v>213</v>
      </c>
      <c r="C99" s="0" t="s">
        <v>184</v>
      </c>
      <c r="D99" s="0" t="n">
        <v>1890</v>
      </c>
      <c r="E99" s="0" t="n">
        <v>947</v>
      </c>
      <c r="F99" s="6" t="n">
        <v>0.501058201058201</v>
      </c>
      <c r="G99" s="6" t="n">
        <v>0.478536837885655</v>
      </c>
      <c r="H99" s="6" t="n">
        <v>0.523575271173519</v>
      </c>
      <c r="I99" s="6" t="n">
        <v>0.322222222222222</v>
      </c>
      <c r="J99" s="6" t="n">
        <v>0.168253968253968</v>
      </c>
      <c r="K99" s="6" t="n">
        <v>0</v>
      </c>
      <c r="L99" s="6" t="n">
        <v>0.00846560846560847</v>
      </c>
      <c r="M99" s="7" t="n">
        <v>2.332</v>
      </c>
      <c r="N99" s="7" t="n">
        <v>4.1348</v>
      </c>
      <c r="O99" s="8" t="n">
        <v>914.653941385582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10" min="3" style="0" width="16"/>
  </cols>
  <sheetData>
    <row r="1" customFormat="false" ht="15" hidden="false" customHeight="false" outlineLevel="0" collapsed="false">
      <c r="A1" s="1" t="s">
        <v>214</v>
      </c>
    </row>
    <row r="3" customFormat="false" ht="45" hidden="false" customHeight="true" outlineLevel="0" collapsed="false">
      <c r="A3" s="2" t="s">
        <v>1</v>
      </c>
      <c r="B3" s="2" t="s">
        <v>174</v>
      </c>
      <c r="C3" s="2" t="s">
        <v>215</v>
      </c>
      <c r="D3" s="2" t="s">
        <v>216</v>
      </c>
      <c r="E3" s="2" t="s">
        <v>11</v>
      </c>
      <c r="F3" s="2" t="s">
        <v>177</v>
      </c>
      <c r="G3" s="2" t="s">
        <v>178</v>
      </c>
      <c r="H3" s="2" t="s">
        <v>217</v>
      </c>
      <c r="I3" s="2" t="s">
        <v>218</v>
      </c>
      <c r="J3" s="2" t="s">
        <v>219</v>
      </c>
    </row>
    <row r="4" customFormat="false" ht="15" hidden="false" customHeight="false" outlineLevel="0" collapsed="false">
      <c r="A4" s="0" t="s">
        <v>18</v>
      </c>
      <c r="B4" s="0" t="s">
        <v>181</v>
      </c>
      <c r="C4" s="0" t="n">
        <v>104</v>
      </c>
      <c r="D4" s="0" t="n">
        <v>84</v>
      </c>
      <c r="E4" s="6" t="n">
        <v>0.807692307692308</v>
      </c>
      <c r="F4" s="6" t="n">
        <v>0.721543484668355</v>
      </c>
      <c r="G4" s="6" t="n">
        <v>0.871919520331571</v>
      </c>
      <c r="H4" s="8" t="n">
        <v>25</v>
      </c>
      <c r="I4" s="6" t="n">
        <v>0.877446323389702</v>
      </c>
      <c r="J4" s="6" t="n">
        <v>0.00773001508295626</v>
      </c>
    </row>
    <row r="5" customFormat="false" ht="15" hidden="false" customHeight="false" outlineLevel="0" collapsed="false">
      <c r="A5" s="0" t="s">
        <v>18</v>
      </c>
      <c r="B5" s="0" t="s">
        <v>182</v>
      </c>
      <c r="C5" s="0" t="n">
        <v>104</v>
      </c>
      <c r="D5" s="0" t="n">
        <v>91</v>
      </c>
      <c r="E5" s="6" t="n">
        <v>0.875</v>
      </c>
      <c r="F5" s="6" t="n">
        <v>0.797808355315222</v>
      </c>
      <c r="G5" s="6" t="n">
        <v>0.925474682028438</v>
      </c>
      <c r="H5" s="8" t="n">
        <v>25</v>
      </c>
      <c r="I5" s="6" t="n">
        <v>0.929371558762104</v>
      </c>
      <c r="J5" s="6" t="n">
        <v>0.00697586726998492</v>
      </c>
    </row>
    <row r="6" customFormat="false" ht="15" hidden="false" customHeight="false" outlineLevel="0" collapsed="false">
      <c r="A6" s="0" t="s">
        <v>18</v>
      </c>
      <c r="B6" s="0" t="s">
        <v>183</v>
      </c>
      <c r="C6" s="0" t="n">
        <v>104</v>
      </c>
      <c r="D6" s="0" t="n">
        <v>97</v>
      </c>
      <c r="E6" s="6" t="n">
        <v>0.932692307692308</v>
      </c>
      <c r="F6" s="6" t="n">
        <v>0.867540620051076</v>
      </c>
      <c r="G6" s="6" t="n">
        <v>0.96701673073007</v>
      </c>
      <c r="H6" s="8" t="n">
        <v>25</v>
      </c>
      <c r="I6" s="6" t="n">
        <v>0.975759907656791</v>
      </c>
      <c r="J6" s="6" t="n">
        <v>0.0199849170437406</v>
      </c>
    </row>
    <row r="7" customFormat="false" ht="15" hidden="false" customHeight="false" outlineLevel="0" collapsed="false">
      <c r="A7" s="0" t="s">
        <v>18</v>
      </c>
      <c r="B7" s="0" t="s">
        <v>184</v>
      </c>
      <c r="C7" s="0" t="n">
        <v>312</v>
      </c>
      <c r="D7" s="0" t="n">
        <v>272</v>
      </c>
      <c r="E7" s="6" t="n">
        <v>0.871794871794872</v>
      </c>
      <c r="F7" s="6" t="n">
        <v>0.83012573449699</v>
      </c>
      <c r="G7" s="6" t="n">
        <v>0.904419683206061</v>
      </c>
      <c r="H7" s="8" t="n">
        <v>25</v>
      </c>
      <c r="I7" s="6" t="n">
        <v>0.927327060020346</v>
      </c>
      <c r="J7" s="6" t="n">
        <v>0.0115635997988939</v>
      </c>
    </row>
    <row r="8" customFormat="false" ht="15" hidden="false" customHeight="false" outlineLevel="0" collapsed="false">
      <c r="A8" s="0" t="s">
        <v>33</v>
      </c>
      <c r="B8" s="0" t="s">
        <v>181</v>
      </c>
      <c r="C8" s="0" t="n">
        <v>88</v>
      </c>
      <c r="D8" s="0" t="n">
        <v>38</v>
      </c>
      <c r="E8" s="6" t="n">
        <v>0.431818181818182</v>
      </c>
      <c r="F8" s="6" t="n">
        <v>0.333325085229477</v>
      </c>
      <c r="G8" s="6" t="n">
        <v>0.536015170166771</v>
      </c>
      <c r="H8" s="8" t="n">
        <v>17.5</v>
      </c>
      <c r="I8" s="6" t="n">
        <v>0.621252796420582</v>
      </c>
      <c r="J8" s="6" t="n">
        <v>0.00401069518716578</v>
      </c>
    </row>
    <row r="9" customFormat="false" ht="15" hidden="false" customHeight="false" outlineLevel="0" collapsed="false">
      <c r="A9" s="0" t="s">
        <v>33</v>
      </c>
      <c r="B9" s="0" t="s">
        <v>182</v>
      </c>
      <c r="C9" s="0" t="n">
        <v>88</v>
      </c>
      <c r="D9" s="0" t="n">
        <v>42</v>
      </c>
      <c r="E9" s="6" t="n">
        <v>0.477272727272727</v>
      </c>
      <c r="F9" s="6" t="n">
        <v>0.376064514436817</v>
      </c>
      <c r="G9" s="6" t="n">
        <v>0.580382237361932</v>
      </c>
      <c r="H9" s="8" t="n">
        <v>24.25</v>
      </c>
      <c r="I9" s="6" t="n">
        <v>0.702266098272381</v>
      </c>
      <c r="J9" s="6" t="n">
        <v>0.00690730837789661</v>
      </c>
    </row>
    <row r="10" customFormat="false" ht="15" hidden="false" customHeight="false" outlineLevel="0" collapsed="false">
      <c r="A10" s="0" t="s">
        <v>33</v>
      </c>
      <c r="B10" s="0" t="s">
        <v>183</v>
      </c>
      <c r="C10" s="0" t="n">
        <v>88</v>
      </c>
      <c r="D10" s="0" t="n">
        <v>45</v>
      </c>
      <c r="E10" s="6" t="n">
        <v>0.511363636363636</v>
      </c>
      <c r="F10" s="6" t="n">
        <v>0.408653487192676</v>
      </c>
      <c r="G10" s="6" t="n">
        <v>0.61312313690795</v>
      </c>
      <c r="H10" s="8" t="n">
        <v>25</v>
      </c>
      <c r="I10" s="6" t="n">
        <v>0.681584247035131</v>
      </c>
      <c r="J10" s="6" t="n">
        <v>0.00423351158645276</v>
      </c>
    </row>
    <row r="11" customFormat="false" ht="15" hidden="false" customHeight="false" outlineLevel="0" collapsed="false">
      <c r="A11" s="0" t="s">
        <v>33</v>
      </c>
      <c r="B11" s="0" t="s">
        <v>184</v>
      </c>
      <c r="C11" s="0" t="n">
        <v>264</v>
      </c>
      <c r="D11" s="0" t="n">
        <v>125</v>
      </c>
      <c r="E11" s="6" t="n">
        <v>0.473484848484849</v>
      </c>
      <c r="F11" s="6" t="n">
        <v>0.414067472327674</v>
      </c>
      <c r="G11" s="6" t="n">
        <v>0.533662827969218</v>
      </c>
      <c r="H11" s="8" t="n">
        <v>22</v>
      </c>
      <c r="I11" s="6" t="n">
        <v>0.668333830994327</v>
      </c>
      <c r="J11" s="6" t="n">
        <v>0.00505050505050505</v>
      </c>
    </row>
    <row r="12" customFormat="false" ht="15" hidden="false" customHeight="false" outlineLevel="0" collapsed="false">
      <c r="A12" s="0" t="s">
        <v>48</v>
      </c>
      <c r="B12" s="0" t="s">
        <v>181</v>
      </c>
      <c r="C12" s="0" t="n">
        <v>104</v>
      </c>
      <c r="D12" s="0" t="n">
        <v>86</v>
      </c>
      <c r="E12" s="6" t="n">
        <v>0.826923076923077</v>
      </c>
      <c r="F12" s="6" t="n">
        <v>0.742930961996865</v>
      </c>
      <c r="G12" s="6" t="n">
        <v>0.887623480815556</v>
      </c>
      <c r="H12" s="8" t="n">
        <v>25</v>
      </c>
      <c r="I12" s="6" t="n">
        <v>0.977959697732998</v>
      </c>
      <c r="J12" s="6" t="n">
        <v>0.101809954751131</v>
      </c>
    </row>
    <row r="13" customFormat="false" ht="15" hidden="false" customHeight="false" outlineLevel="0" collapsed="false">
      <c r="A13" s="0" t="s">
        <v>48</v>
      </c>
      <c r="B13" s="0" t="s">
        <v>182</v>
      </c>
      <c r="C13" s="0" t="n">
        <v>104</v>
      </c>
      <c r="D13" s="0" t="n">
        <v>81</v>
      </c>
      <c r="E13" s="6" t="n">
        <v>0.778846153846154</v>
      </c>
      <c r="F13" s="6" t="n">
        <v>0.689954198387847</v>
      </c>
      <c r="G13" s="6" t="n">
        <v>0.847871649893336</v>
      </c>
      <c r="H13" s="8" t="n">
        <v>25</v>
      </c>
      <c r="I13" s="6" t="n">
        <v>0.982280102476516</v>
      </c>
      <c r="J13" s="6" t="n">
        <v>0.116892911010558</v>
      </c>
    </row>
    <row r="14" customFormat="false" ht="15" hidden="false" customHeight="false" outlineLevel="0" collapsed="false">
      <c r="A14" s="0" t="s">
        <v>48</v>
      </c>
      <c r="B14" s="0" t="s">
        <v>183</v>
      </c>
      <c r="C14" s="0" t="n">
        <v>104</v>
      </c>
      <c r="D14" s="0" t="n">
        <v>85</v>
      </c>
      <c r="E14" s="6" t="n">
        <v>0.817307692307692</v>
      </c>
      <c r="F14" s="6" t="n">
        <v>0.732202018997906</v>
      </c>
      <c r="G14" s="6" t="n">
        <v>0.879806704908267</v>
      </c>
      <c r="H14" s="8" t="n">
        <v>25</v>
      </c>
      <c r="I14" s="6" t="n">
        <v>0.990297274979356</v>
      </c>
      <c r="J14" s="6" t="n">
        <v>0.0867269984917044</v>
      </c>
    </row>
    <row r="15" customFormat="false" ht="15" hidden="false" customHeight="false" outlineLevel="0" collapsed="false">
      <c r="A15" s="0" t="s">
        <v>48</v>
      </c>
      <c r="B15" s="0" t="s">
        <v>184</v>
      </c>
      <c r="C15" s="0" t="n">
        <v>312</v>
      </c>
      <c r="D15" s="0" t="n">
        <v>252</v>
      </c>
      <c r="E15" s="6" t="n">
        <v>0.807692307692308</v>
      </c>
      <c r="F15" s="6" t="n">
        <v>0.760323704149685</v>
      </c>
      <c r="G15" s="6" t="n">
        <v>0.847575951880427</v>
      </c>
      <c r="H15" s="8" t="n">
        <v>25</v>
      </c>
      <c r="I15" s="6" t="n">
        <v>0.983557234816681</v>
      </c>
      <c r="J15" s="6" t="n">
        <v>0.101809954751131</v>
      </c>
    </row>
    <row r="16" customFormat="false" ht="15" hidden="false" customHeight="false" outlineLevel="0" collapsed="false">
      <c r="A16" s="0" t="s">
        <v>63</v>
      </c>
      <c r="B16" s="0" t="s">
        <v>181</v>
      </c>
      <c r="C16" s="0" t="n">
        <v>104</v>
      </c>
      <c r="D16" s="0" t="n">
        <v>74</v>
      </c>
      <c r="E16" s="6" t="n">
        <v>0.711538461538462</v>
      </c>
      <c r="F16" s="6" t="n">
        <v>0.618163643192052</v>
      </c>
      <c r="G16" s="6" t="n">
        <v>0.789842172745397</v>
      </c>
      <c r="H16" s="8" t="n">
        <v>25</v>
      </c>
      <c r="I16" s="6" t="n">
        <v>0.839245283018868</v>
      </c>
      <c r="J16" s="6" t="n">
        <v>0.000754147812971342</v>
      </c>
    </row>
    <row r="17" customFormat="false" ht="15" hidden="false" customHeight="false" outlineLevel="0" collapsed="false">
      <c r="A17" s="0" t="s">
        <v>63</v>
      </c>
      <c r="B17" s="0" t="s">
        <v>182</v>
      </c>
      <c r="C17" s="0" t="n">
        <v>104</v>
      </c>
      <c r="D17" s="0" t="n">
        <v>72</v>
      </c>
      <c r="E17" s="6" t="n">
        <v>0.692307692307692</v>
      </c>
      <c r="F17" s="6" t="n">
        <v>0.598077676914267</v>
      </c>
      <c r="G17" s="6" t="n">
        <v>0.772836701210686</v>
      </c>
      <c r="H17" s="8" t="n">
        <v>25</v>
      </c>
      <c r="I17" s="6" t="n">
        <v>0.829208388437559</v>
      </c>
      <c r="J17" s="6" t="n">
        <v>0.00207390648567119</v>
      </c>
    </row>
    <row r="18" customFormat="false" ht="15" hidden="false" customHeight="false" outlineLevel="0" collapsed="false">
      <c r="A18" s="0" t="s">
        <v>63</v>
      </c>
      <c r="B18" s="0" t="s">
        <v>183</v>
      </c>
      <c r="C18" s="0" t="n">
        <v>104</v>
      </c>
      <c r="D18" s="0" t="n">
        <v>73</v>
      </c>
      <c r="E18" s="6" t="n">
        <v>0.701923076923077</v>
      </c>
      <c r="F18" s="6" t="n">
        <v>0.608098902569017</v>
      </c>
      <c r="G18" s="6" t="n">
        <v>0.781361194462184</v>
      </c>
      <c r="H18" s="8" t="n">
        <v>25</v>
      </c>
      <c r="I18" s="6" t="n">
        <v>0.824650811627029</v>
      </c>
      <c r="J18" s="6" t="n">
        <v>0.00113122171945701</v>
      </c>
    </row>
    <row r="19" customFormat="false" ht="15" hidden="false" customHeight="false" outlineLevel="0" collapsed="false">
      <c r="A19" s="0" t="s">
        <v>63</v>
      </c>
      <c r="B19" s="0" t="s">
        <v>184</v>
      </c>
      <c r="C19" s="0" t="n">
        <v>312</v>
      </c>
      <c r="D19" s="0" t="n">
        <v>219</v>
      </c>
      <c r="E19" s="6" t="n">
        <v>0.701923076923077</v>
      </c>
      <c r="F19" s="6" t="n">
        <v>0.648960905248912</v>
      </c>
      <c r="G19" s="6" t="n">
        <v>0.749973244020849</v>
      </c>
      <c r="H19" s="8" t="n">
        <v>25</v>
      </c>
      <c r="I19" s="6" t="n">
        <v>0.831036435718331</v>
      </c>
      <c r="J19" s="6" t="n">
        <v>0.00131975867269985</v>
      </c>
    </row>
    <row r="20" customFormat="false" ht="15" hidden="false" customHeight="false" outlineLevel="0" collapsed="false">
      <c r="A20" s="0" t="s">
        <v>77</v>
      </c>
      <c r="B20" s="0" t="s">
        <v>181</v>
      </c>
      <c r="C20" s="0" t="n">
        <v>104</v>
      </c>
      <c r="D20" s="0" t="n">
        <v>82</v>
      </c>
      <c r="E20" s="6" t="n">
        <v>0.788461538461538</v>
      </c>
      <c r="F20" s="6" t="n">
        <v>0.700422776328964</v>
      </c>
      <c r="G20" s="6" t="n">
        <v>0.855948790858467</v>
      </c>
      <c r="H20" s="8" t="n">
        <v>25</v>
      </c>
      <c r="I20" s="6" t="n">
        <v>0.914023691249522</v>
      </c>
      <c r="J20" s="6" t="n">
        <v>0.0131975867269985</v>
      </c>
    </row>
    <row r="21" customFormat="false" ht="15" hidden="false" customHeight="false" outlineLevel="0" collapsed="false">
      <c r="A21" s="0" t="s">
        <v>77</v>
      </c>
      <c r="B21" s="0" t="s">
        <v>182</v>
      </c>
      <c r="C21" s="0" t="n">
        <v>104</v>
      </c>
      <c r="D21" s="0" t="n">
        <v>73</v>
      </c>
      <c r="E21" s="6" t="n">
        <v>0.701923076923077</v>
      </c>
      <c r="F21" s="6" t="n">
        <v>0.608098902569017</v>
      </c>
      <c r="G21" s="6" t="n">
        <v>0.781361194462184</v>
      </c>
      <c r="H21" s="8" t="n">
        <v>25</v>
      </c>
      <c r="I21" s="6" t="n">
        <v>0.894359371971312</v>
      </c>
      <c r="J21" s="6" t="n">
        <v>0.0273378582202112</v>
      </c>
    </row>
    <row r="22" customFormat="false" ht="15" hidden="false" customHeight="false" outlineLevel="0" collapsed="false">
      <c r="A22" s="0" t="s">
        <v>77</v>
      </c>
      <c r="B22" s="0" t="s">
        <v>183</v>
      </c>
      <c r="C22" s="0" t="n">
        <v>104</v>
      </c>
      <c r="D22" s="0" t="n">
        <v>86</v>
      </c>
      <c r="E22" s="6" t="n">
        <v>0.826923076923077</v>
      </c>
      <c r="F22" s="6" t="n">
        <v>0.742930961996865</v>
      </c>
      <c r="G22" s="6" t="n">
        <v>0.887623480815556</v>
      </c>
      <c r="H22" s="8" t="n">
        <v>25</v>
      </c>
      <c r="I22" s="6" t="n">
        <v>0.906393568147014</v>
      </c>
      <c r="J22" s="6" t="n">
        <v>0.0150829562594269</v>
      </c>
    </row>
    <row r="23" customFormat="false" ht="15" hidden="false" customHeight="false" outlineLevel="0" collapsed="false">
      <c r="A23" s="0" t="s">
        <v>77</v>
      </c>
      <c r="B23" s="0" t="s">
        <v>184</v>
      </c>
      <c r="C23" s="0" t="n">
        <v>312</v>
      </c>
      <c r="D23" s="0" t="n">
        <v>241</v>
      </c>
      <c r="E23" s="6" t="n">
        <v>0.772435897435898</v>
      </c>
      <c r="F23" s="6" t="n">
        <v>0.722765078294655</v>
      </c>
      <c r="G23" s="6" t="n">
        <v>0.81547940881534</v>
      </c>
      <c r="H23" s="8" t="n">
        <v>25</v>
      </c>
      <c r="I23" s="6" t="n">
        <v>0.904975347377858</v>
      </c>
      <c r="J23" s="6" t="n">
        <v>0.0185394670688788</v>
      </c>
    </row>
    <row r="24" customFormat="false" ht="15" hidden="false" customHeight="false" outlineLevel="0" collapsed="false">
      <c r="A24" s="0" t="s">
        <v>91</v>
      </c>
      <c r="B24" s="0" t="s">
        <v>181</v>
      </c>
      <c r="C24" s="0" t="n">
        <v>104</v>
      </c>
      <c r="D24" s="0" t="n">
        <v>69</v>
      </c>
      <c r="E24" s="6" t="n">
        <v>0.663461538461538</v>
      </c>
      <c r="F24" s="6" t="n">
        <v>0.568264475872517</v>
      </c>
      <c r="G24" s="6" t="n">
        <v>0.747012745533694</v>
      </c>
      <c r="H24" s="8" t="n">
        <v>25</v>
      </c>
      <c r="I24" s="6" t="n">
        <v>0.8122995661196</v>
      </c>
      <c r="J24" s="6" t="n">
        <v>0.000565610859728507</v>
      </c>
    </row>
    <row r="25" customFormat="false" ht="15" hidden="false" customHeight="false" outlineLevel="0" collapsed="false">
      <c r="A25" s="0" t="s">
        <v>91</v>
      </c>
      <c r="B25" s="0" t="s">
        <v>182</v>
      </c>
      <c r="C25" s="0" t="n">
        <v>104</v>
      </c>
      <c r="D25" s="0" t="n">
        <v>56</v>
      </c>
      <c r="E25" s="6" t="n">
        <v>0.538461538461538</v>
      </c>
      <c r="F25" s="6" t="n">
        <v>0.442991303828748</v>
      </c>
      <c r="G25" s="6" t="n">
        <v>0.631191571796243</v>
      </c>
      <c r="H25" s="8" t="n">
        <v>25</v>
      </c>
      <c r="I25" s="6" t="n">
        <v>0.766800689259047</v>
      </c>
      <c r="J25" s="6" t="n">
        <v>0.0152714932126697</v>
      </c>
    </row>
    <row r="26" customFormat="false" ht="15" hidden="false" customHeight="false" outlineLevel="0" collapsed="false">
      <c r="A26" s="0" t="s">
        <v>91</v>
      </c>
      <c r="B26" s="0" t="s">
        <v>183</v>
      </c>
      <c r="C26" s="0" t="n">
        <v>104</v>
      </c>
      <c r="D26" s="0" t="n">
        <v>66</v>
      </c>
      <c r="E26" s="6" t="n">
        <v>0.634615384615385</v>
      </c>
      <c r="F26" s="6" t="n">
        <v>0.53880837687162</v>
      </c>
      <c r="G26" s="6" t="n">
        <v>0.720831687815848</v>
      </c>
      <c r="H26" s="8" t="n">
        <v>25</v>
      </c>
      <c r="I26" s="6" t="n">
        <v>0.804484134524036</v>
      </c>
      <c r="J26" s="6" t="n">
        <v>0.00773001508295626</v>
      </c>
    </row>
    <row r="27" customFormat="false" ht="15" hidden="false" customHeight="false" outlineLevel="0" collapsed="false">
      <c r="A27" s="0" t="s">
        <v>91</v>
      </c>
      <c r="B27" s="0" t="s">
        <v>184</v>
      </c>
      <c r="C27" s="0" t="n">
        <v>312</v>
      </c>
      <c r="D27" s="0" t="n">
        <v>191</v>
      </c>
      <c r="E27" s="6" t="n">
        <v>0.612179487179487</v>
      </c>
      <c r="F27" s="6" t="n">
        <v>0.557060379998878</v>
      </c>
      <c r="G27" s="6" t="n">
        <v>0.664569702928767</v>
      </c>
      <c r="H27" s="8" t="n">
        <v>25</v>
      </c>
      <c r="I27" s="6" t="n">
        <v>0.79464116044847</v>
      </c>
      <c r="J27" s="6" t="n">
        <v>0.00785570638511815</v>
      </c>
    </row>
    <row r="28" customFormat="false" ht="15" hidden="false" customHeight="false" outlineLevel="0" collapsed="false">
      <c r="A28" s="0" t="s">
        <v>102</v>
      </c>
      <c r="B28" s="0" t="s">
        <v>181</v>
      </c>
      <c r="C28" s="0" t="n">
        <v>104</v>
      </c>
      <c r="D28" s="0" t="n">
        <v>70</v>
      </c>
      <c r="E28" s="6" t="n">
        <v>0.673076923076923</v>
      </c>
      <c r="F28" s="6" t="n">
        <v>0.578161431240136</v>
      </c>
      <c r="G28" s="6" t="n">
        <v>0.755661509072323</v>
      </c>
      <c r="H28" s="8" t="n">
        <v>25</v>
      </c>
      <c r="I28" s="6" t="n">
        <v>0.811651583710407</v>
      </c>
      <c r="J28" s="6" t="n">
        <v>0</v>
      </c>
    </row>
    <row r="29" customFormat="false" ht="15" hidden="false" customHeight="false" outlineLevel="0" collapsed="false">
      <c r="A29" s="0" t="s">
        <v>102</v>
      </c>
      <c r="B29" s="0" t="s">
        <v>182</v>
      </c>
      <c r="C29" s="0" t="n">
        <v>104</v>
      </c>
      <c r="D29" s="0" t="n">
        <v>76</v>
      </c>
      <c r="E29" s="6" t="n">
        <v>0.730769230769231</v>
      </c>
      <c r="F29" s="6" t="n">
        <v>0.638428652374085</v>
      </c>
      <c r="G29" s="6" t="n">
        <v>0.806668601375859</v>
      </c>
      <c r="H29" s="8" t="n">
        <v>25</v>
      </c>
      <c r="I29" s="6" t="n">
        <v>0.848896434634975</v>
      </c>
      <c r="J29" s="6" t="n">
        <v>0.000565610859728507</v>
      </c>
    </row>
    <row r="30" customFormat="false" ht="15" hidden="false" customHeight="false" outlineLevel="0" collapsed="false">
      <c r="A30" s="0" t="s">
        <v>102</v>
      </c>
      <c r="B30" s="0" t="s">
        <v>183</v>
      </c>
      <c r="C30" s="0" t="n">
        <v>104</v>
      </c>
      <c r="D30" s="0" t="n">
        <v>73</v>
      </c>
      <c r="E30" s="6" t="n">
        <v>0.701923076923077</v>
      </c>
      <c r="F30" s="6" t="n">
        <v>0.608098902569017</v>
      </c>
      <c r="G30" s="6" t="n">
        <v>0.781361194462184</v>
      </c>
      <c r="H30" s="8" t="n">
        <v>25</v>
      </c>
      <c r="I30" s="6" t="n">
        <v>0.800339366515837</v>
      </c>
      <c r="J30" s="6" t="n">
        <v>0</v>
      </c>
    </row>
    <row r="31" customFormat="false" ht="15" hidden="false" customHeight="false" outlineLevel="0" collapsed="false">
      <c r="A31" s="0" t="s">
        <v>102</v>
      </c>
      <c r="B31" s="0" t="s">
        <v>184</v>
      </c>
      <c r="C31" s="0" t="n">
        <v>312</v>
      </c>
      <c r="D31" s="0" t="n">
        <v>219</v>
      </c>
      <c r="E31" s="6" t="n">
        <v>0.701923076923077</v>
      </c>
      <c r="F31" s="6" t="n">
        <v>0.648960905248912</v>
      </c>
      <c r="G31" s="6" t="n">
        <v>0.749973244020849</v>
      </c>
      <c r="H31" s="8" t="n">
        <v>25</v>
      </c>
      <c r="I31" s="6" t="n">
        <v>0.820290401659438</v>
      </c>
      <c r="J31" s="6" t="n">
        <v>0.000188536953242836</v>
      </c>
    </row>
    <row r="32" customFormat="false" ht="15" hidden="false" customHeight="false" outlineLevel="0" collapsed="false">
      <c r="A32" s="0" t="s">
        <v>115</v>
      </c>
      <c r="B32" s="0" t="s">
        <v>181</v>
      </c>
      <c r="C32" s="0" t="n">
        <v>104</v>
      </c>
      <c r="D32" s="0" t="n">
        <v>78</v>
      </c>
      <c r="E32" s="6" t="n">
        <v>0.75</v>
      </c>
      <c r="F32" s="6" t="n">
        <v>0.658883936822563</v>
      </c>
      <c r="G32" s="6" t="n">
        <v>0.823304754739877</v>
      </c>
      <c r="H32" s="8" t="n">
        <v>25</v>
      </c>
      <c r="I32" s="6" t="n">
        <v>0.909780136467021</v>
      </c>
      <c r="J32" s="6" t="n">
        <v>0.0052790346907994</v>
      </c>
    </row>
    <row r="33" customFormat="false" ht="15" hidden="false" customHeight="false" outlineLevel="0" collapsed="false">
      <c r="A33" s="0" t="s">
        <v>115</v>
      </c>
      <c r="B33" s="0" t="s">
        <v>182</v>
      </c>
      <c r="C33" s="0" t="n">
        <v>104</v>
      </c>
      <c r="D33" s="0" t="n">
        <v>84</v>
      </c>
      <c r="E33" s="6" t="n">
        <v>0.807692307692308</v>
      </c>
      <c r="F33" s="6" t="n">
        <v>0.721543484668355</v>
      </c>
      <c r="G33" s="6" t="n">
        <v>0.871919520331571</v>
      </c>
      <c r="H33" s="8" t="n">
        <v>25</v>
      </c>
      <c r="I33" s="6" t="n">
        <v>0.902985074626866</v>
      </c>
      <c r="J33" s="6" t="n">
        <v>0.0147058823529412</v>
      </c>
    </row>
    <row r="34" customFormat="false" ht="15" hidden="false" customHeight="false" outlineLevel="0" collapsed="false">
      <c r="A34" s="0" t="s">
        <v>115</v>
      </c>
      <c r="B34" s="0" t="s">
        <v>183</v>
      </c>
      <c r="C34" s="0" t="n">
        <v>104</v>
      </c>
      <c r="D34" s="0" t="n">
        <v>85</v>
      </c>
      <c r="E34" s="6" t="n">
        <v>0.817307692307692</v>
      </c>
      <c r="F34" s="6" t="n">
        <v>0.732202018997906</v>
      </c>
      <c r="G34" s="6" t="n">
        <v>0.879806704908267</v>
      </c>
      <c r="H34" s="8" t="n">
        <v>25</v>
      </c>
      <c r="I34" s="6" t="n">
        <v>0.905815061963775</v>
      </c>
      <c r="J34" s="6" t="n">
        <v>0.0111236802413273</v>
      </c>
    </row>
    <row r="35" customFormat="false" ht="15" hidden="false" customHeight="false" outlineLevel="0" collapsed="false">
      <c r="A35" s="0" t="s">
        <v>115</v>
      </c>
      <c r="B35" s="0" t="s">
        <v>184</v>
      </c>
      <c r="C35" s="0" t="n">
        <v>312</v>
      </c>
      <c r="D35" s="0" t="n">
        <v>247</v>
      </c>
      <c r="E35" s="6" t="n">
        <v>0.791666666666667</v>
      </c>
      <c r="F35" s="6" t="n">
        <v>0.743189771688818</v>
      </c>
      <c r="G35" s="6" t="n">
        <v>0.833048443923058</v>
      </c>
      <c r="H35" s="8" t="n">
        <v>25</v>
      </c>
      <c r="I35" s="6" t="n">
        <v>0.906204356385343</v>
      </c>
      <c r="J35" s="6" t="n">
        <v>0.010369532428356</v>
      </c>
    </row>
    <row r="36" customFormat="false" ht="15" hidden="false" customHeight="false" outlineLevel="0" collapsed="false">
      <c r="A36" s="0" t="s">
        <v>129</v>
      </c>
      <c r="B36" s="0" t="s">
        <v>181</v>
      </c>
      <c r="C36" s="0" t="n">
        <v>104</v>
      </c>
      <c r="D36" s="0" t="n">
        <v>85</v>
      </c>
      <c r="E36" s="6" t="n">
        <v>0.817307692307692</v>
      </c>
      <c r="F36" s="6" t="n">
        <v>0.732202018997906</v>
      </c>
      <c r="G36" s="6" t="n">
        <v>0.879806704908267</v>
      </c>
      <c r="H36" s="8" t="n">
        <v>25</v>
      </c>
      <c r="I36" s="6" t="n">
        <v>0.993627954779034</v>
      </c>
      <c r="J36" s="6" t="n">
        <v>0.0827677224736048</v>
      </c>
    </row>
    <row r="37" customFormat="false" ht="15" hidden="false" customHeight="false" outlineLevel="0" collapsed="false">
      <c r="A37" s="0" t="s">
        <v>129</v>
      </c>
      <c r="B37" s="0" t="s">
        <v>182</v>
      </c>
      <c r="C37" s="0" t="n">
        <v>104</v>
      </c>
      <c r="D37" s="0" t="n">
        <v>83</v>
      </c>
      <c r="E37" s="6" t="n">
        <v>0.798076923076923</v>
      </c>
      <c r="F37" s="6" t="n">
        <v>0.710951533247548</v>
      </c>
      <c r="G37" s="6" t="n">
        <v>0.863965752846131</v>
      </c>
      <c r="H37" s="8" t="n">
        <v>25</v>
      </c>
      <c r="I37" s="6" t="n">
        <v>0.993541666666667</v>
      </c>
      <c r="J37" s="6" t="n">
        <v>0.0950226244343891</v>
      </c>
    </row>
    <row r="38" customFormat="false" ht="15" hidden="false" customHeight="false" outlineLevel="0" collapsed="false">
      <c r="A38" s="0" t="s">
        <v>129</v>
      </c>
      <c r="B38" s="0" t="s">
        <v>183</v>
      </c>
      <c r="C38" s="0" t="n">
        <v>104</v>
      </c>
      <c r="D38" s="0" t="n">
        <v>90</v>
      </c>
      <c r="E38" s="6" t="n">
        <v>0.865384615384615</v>
      </c>
      <c r="F38" s="6" t="n">
        <v>0.786647740203912</v>
      </c>
      <c r="G38" s="6" t="n">
        <v>0.918089578233501</v>
      </c>
      <c r="H38" s="8" t="n">
        <v>25</v>
      </c>
      <c r="I38" s="6" t="n">
        <v>0.988700564971751</v>
      </c>
      <c r="J38" s="6" t="n">
        <v>0.0656108597285068</v>
      </c>
    </row>
    <row r="39" customFormat="false" ht="15" hidden="false" customHeight="false" outlineLevel="0" collapsed="false">
      <c r="A39" s="0" t="s">
        <v>129</v>
      </c>
      <c r="B39" s="0" t="s">
        <v>184</v>
      </c>
      <c r="C39" s="0" t="n">
        <v>312</v>
      </c>
      <c r="D39" s="0" t="n">
        <v>258</v>
      </c>
      <c r="E39" s="6" t="n">
        <v>0.826923076923077</v>
      </c>
      <c r="F39" s="6" t="n">
        <v>0.781034826814958</v>
      </c>
      <c r="G39" s="6" t="n">
        <v>0.864858557717035</v>
      </c>
      <c r="H39" s="8" t="n">
        <v>25</v>
      </c>
      <c r="I39" s="6" t="n">
        <v>0.991929416592572</v>
      </c>
      <c r="J39" s="6" t="n">
        <v>0.0811337355455003</v>
      </c>
    </row>
    <row r="40" customFormat="false" ht="15" hidden="false" customHeight="false" outlineLevel="0" collapsed="false">
      <c r="A40" s="0" t="s">
        <v>141</v>
      </c>
      <c r="B40" s="0" t="s">
        <v>181</v>
      </c>
      <c r="C40" s="0" t="n">
        <v>104</v>
      </c>
      <c r="D40" s="0" t="n">
        <v>86</v>
      </c>
      <c r="E40" s="6" t="n">
        <v>0.826923076923077</v>
      </c>
      <c r="F40" s="6" t="n">
        <v>0.742930961996865</v>
      </c>
      <c r="G40" s="6" t="n">
        <v>0.887623480815556</v>
      </c>
      <c r="H40" s="8" t="n">
        <v>25</v>
      </c>
      <c r="I40" s="6" t="n">
        <v>0.908902301018484</v>
      </c>
      <c r="J40" s="6" t="n">
        <v>0.000377073906485671</v>
      </c>
    </row>
    <row r="41" customFormat="false" ht="15" hidden="false" customHeight="false" outlineLevel="0" collapsed="false">
      <c r="A41" s="0" t="s">
        <v>141</v>
      </c>
      <c r="B41" s="0" t="s">
        <v>182</v>
      </c>
      <c r="C41" s="0" t="n">
        <v>104</v>
      </c>
      <c r="D41" s="0" t="n">
        <v>83</v>
      </c>
      <c r="E41" s="6" t="n">
        <v>0.798076923076923</v>
      </c>
      <c r="F41" s="6" t="n">
        <v>0.710951533247548</v>
      </c>
      <c r="G41" s="6" t="n">
        <v>0.863965752846131</v>
      </c>
      <c r="H41" s="8" t="n">
        <v>25</v>
      </c>
      <c r="I41" s="6" t="n">
        <v>0.869762174405436</v>
      </c>
      <c r="J41" s="6" t="n">
        <v>0.00113122171945701</v>
      </c>
    </row>
    <row r="42" customFormat="false" ht="15" hidden="false" customHeight="false" outlineLevel="0" collapsed="false">
      <c r="A42" s="0" t="s">
        <v>141</v>
      </c>
      <c r="B42" s="0" t="s">
        <v>183</v>
      </c>
      <c r="C42" s="0" t="n">
        <v>104</v>
      </c>
      <c r="D42" s="0" t="n">
        <v>82</v>
      </c>
      <c r="E42" s="6" t="n">
        <v>0.788461538461538</v>
      </c>
      <c r="F42" s="6" t="n">
        <v>0.700422776328964</v>
      </c>
      <c r="G42" s="6" t="n">
        <v>0.855948790858467</v>
      </c>
      <c r="H42" s="8" t="n">
        <v>25</v>
      </c>
      <c r="I42" s="6" t="n">
        <v>0.866376866376866</v>
      </c>
      <c r="J42" s="6" t="n">
        <v>0.00245098039215686</v>
      </c>
    </row>
    <row r="43" customFormat="false" ht="15" hidden="false" customHeight="false" outlineLevel="0" collapsed="false">
      <c r="A43" s="0" t="s">
        <v>141</v>
      </c>
      <c r="B43" s="0" t="s">
        <v>184</v>
      </c>
      <c r="C43" s="0" t="n">
        <v>312</v>
      </c>
      <c r="D43" s="0" t="n">
        <v>251</v>
      </c>
      <c r="E43" s="6" t="n">
        <v>0.80448717948718</v>
      </c>
      <c r="F43" s="6" t="n">
        <v>0.756888197718905</v>
      </c>
      <c r="G43" s="6" t="n">
        <v>0.84467917022756</v>
      </c>
      <c r="H43" s="8" t="n">
        <v>25</v>
      </c>
      <c r="I43" s="6" t="n">
        <v>0.881694040651941</v>
      </c>
      <c r="J43" s="6" t="n">
        <v>0.00131975867269985</v>
      </c>
    </row>
    <row r="44" customFormat="false" ht="15" hidden="false" customHeight="false" outlineLevel="0" collapsed="false">
      <c r="A44" s="0" t="s">
        <v>152</v>
      </c>
      <c r="B44" s="0" t="s">
        <v>181</v>
      </c>
      <c r="C44" s="0" t="n">
        <v>104</v>
      </c>
      <c r="D44" s="0" t="n">
        <v>83</v>
      </c>
      <c r="E44" s="6" t="n">
        <v>0.798076923076923</v>
      </c>
      <c r="F44" s="6" t="n">
        <v>0.710951533247548</v>
      </c>
      <c r="G44" s="6" t="n">
        <v>0.863965752846131</v>
      </c>
      <c r="H44" s="8" t="n">
        <v>25</v>
      </c>
      <c r="I44" s="6" t="n">
        <v>0.941635760296701</v>
      </c>
      <c r="J44" s="6" t="n">
        <v>0.0341251885369532</v>
      </c>
    </row>
    <row r="45" customFormat="false" ht="15" hidden="false" customHeight="false" outlineLevel="0" collapsed="false">
      <c r="A45" s="0" t="s">
        <v>152</v>
      </c>
      <c r="B45" s="0" t="s">
        <v>182</v>
      </c>
      <c r="C45" s="0" t="n">
        <v>104</v>
      </c>
      <c r="D45" s="0" t="n">
        <v>84</v>
      </c>
      <c r="E45" s="6" t="n">
        <v>0.807692307692308</v>
      </c>
      <c r="F45" s="6" t="n">
        <v>0.721543484668355</v>
      </c>
      <c r="G45" s="6" t="n">
        <v>0.871919520331571</v>
      </c>
      <c r="H45" s="8" t="n">
        <v>25</v>
      </c>
      <c r="I45" s="6" t="n">
        <v>0.921708872994394</v>
      </c>
      <c r="J45" s="6" t="n">
        <v>0.0246983408748115</v>
      </c>
    </row>
    <row r="46" customFormat="false" ht="15" hidden="false" customHeight="false" outlineLevel="0" collapsed="false">
      <c r="A46" s="0" t="s">
        <v>152</v>
      </c>
      <c r="B46" s="0" t="s">
        <v>183</v>
      </c>
      <c r="C46" s="0" t="n">
        <v>104</v>
      </c>
      <c r="D46" s="0" t="n">
        <v>84</v>
      </c>
      <c r="E46" s="6" t="n">
        <v>0.807692307692308</v>
      </c>
      <c r="F46" s="6" t="n">
        <v>0.721543484668355</v>
      </c>
      <c r="G46" s="6" t="n">
        <v>0.871919520331571</v>
      </c>
      <c r="H46" s="8" t="n">
        <v>25</v>
      </c>
      <c r="I46" s="6" t="n">
        <v>0.927240977881257</v>
      </c>
      <c r="J46" s="6" t="n">
        <v>0.0282805429864253</v>
      </c>
    </row>
    <row r="47" customFormat="false" ht="15" hidden="false" customHeight="false" outlineLevel="0" collapsed="false">
      <c r="A47" s="0" t="s">
        <v>152</v>
      </c>
      <c r="B47" s="0" t="s">
        <v>184</v>
      </c>
      <c r="C47" s="0" t="n">
        <v>312</v>
      </c>
      <c r="D47" s="0" t="n">
        <v>251</v>
      </c>
      <c r="E47" s="6" t="n">
        <v>0.80448717948718</v>
      </c>
      <c r="F47" s="6" t="n">
        <v>0.756888197718905</v>
      </c>
      <c r="G47" s="6" t="n">
        <v>0.84467917022756</v>
      </c>
      <c r="H47" s="8" t="n">
        <v>25</v>
      </c>
      <c r="I47" s="6" t="n">
        <v>0.930161812297735</v>
      </c>
      <c r="J47" s="6" t="n">
        <v>0.0290346907993967</v>
      </c>
    </row>
    <row r="48" customFormat="false" ht="15" hidden="false" customHeight="false" outlineLevel="0" collapsed="false">
      <c r="A48" s="0" t="s">
        <v>163</v>
      </c>
      <c r="B48" s="0" t="s">
        <v>181</v>
      </c>
      <c r="C48" s="0" t="n">
        <v>104</v>
      </c>
      <c r="D48" s="0" t="n">
        <v>83</v>
      </c>
      <c r="E48" s="6" t="n">
        <v>0.798076923076923</v>
      </c>
      <c r="F48" s="6" t="n">
        <v>0.710951533247548</v>
      </c>
      <c r="G48" s="6" t="n">
        <v>0.863965752846131</v>
      </c>
      <c r="H48" s="8" t="n">
        <v>25</v>
      </c>
      <c r="I48" s="6" t="n">
        <v>0.862334166506441</v>
      </c>
      <c r="J48" s="6" t="n">
        <v>0.0194193061840121</v>
      </c>
    </row>
    <row r="49" customFormat="false" ht="15" hidden="false" customHeight="false" outlineLevel="0" collapsed="false">
      <c r="A49" s="0" t="s">
        <v>163</v>
      </c>
      <c r="B49" s="0" t="s">
        <v>182</v>
      </c>
      <c r="C49" s="0" t="n">
        <v>104</v>
      </c>
      <c r="D49" s="0" t="n">
        <v>84</v>
      </c>
      <c r="E49" s="6" t="n">
        <v>0.807692307692308</v>
      </c>
      <c r="F49" s="6" t="n">
        <v>0.721543484668355</v>
      </c>
      <c r="G49" s="6" t="n">
        <v>0.871919520331571</v>
      </c>
      <c r="H49" s="8" t="n">
        <v>25</v>
      </c>
      <c r="I49" s="6" t="n">
        <v>0.872758489126288</v>
      </c>
      <c r="J49" s="6" t="n">
        <v>0.0116892911010558</v>
      </c>
    </row>
    <row r="50" customFormat="false" ht="15" hidden="false" customHeight="false" outlineLevel="0" collapsed="false">
      <c r="A50" s="0" t="s">
        <v>163</v>
      </c>
      <c r="B50" s="0" t="s">
        <v>183</v>
      </c>
      <c r="C50" s="0" t="n">
        <v>104</v>
      </c>
      <c r="D50" s="0" t="n">
        <v>84</v>
      </c>
      <c r="E50" s="6" t="n">
        <v>0.807692307692308</v>
      </c>
      <c r="F50" s="6" t="n">
        <v>0.721543484668355</v>
      </c>
      <c r="G50" s="6" t="n">
        <v>0.871919520331571</v>
      </c>
      <c r="H50" s="8" t="n">
        <v>25</v>
      </c>
      <c r="I50" s="6" t="n">
        <v>0.898729376066755</v>
      </c>
      <c r="J50" s="6" t="n">
        <v>0.0058446455505279</v>
      </c>
    </row>
    <row r="51" customFormat="false" ht="15" hidden="false" customHeight="false" outlineLevel="0" collapsed="false">
      <c r="A51" s="0" t="s">
        <v>163</v>
      </c>
      <c r="B51" s="0" t="s">
        <v>184</v>
      </c>
      <c r="C51" s="0" t="n">
        <v>312</v>
      </c>
      <c r="D51" s="0" t="n">
        <v>251</v>
      </c>
      <c r="E51" s="6" t="n">
        <v>0.80448717948718</v>
      </c>
      <c r="F51" s="6" t="n">
        <v>0.756888197718905</v>
      </c>
      <c r="G51" s="6" t="n">
        <v>0.84467917022756</v>
      </c>
      <c r="H51" s="8" t="n">
        <v>25</v>
      </c>
      <c r="I51" s="6" t="n">
        <v>0.87802239755663</v>
      </c>
      <c r="J51" s="6" t="n">
        <v>0.0123177476118653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10" min="3" style="0" width="16"/>
  </cols>
  <sheetData>
    <row r="1" customFormat="false" ht="15" hidden="false" customHeight="false" outlineLevel="0" collapsed="false">
      <c r="A1" s="1" t="s">
        <v>220</v>
      </c>
    </row>
    <row r="3" customFormat="false" ht="45" hidden="false" customHeight="true" outlineLevel="0" collapsed="false">
      <c r="A3" s="2" t="s">
        <v>1</v>
      </c>
      <c r="B3" s="2" t="s">
        <v>174</v>
      </c>
      <c r="C3" s="2" t="s">
        <v>175</v>
      </c>
      <c r="D3" s="2" t="s">
        <v>2</v>
      </c>
      <c r="E3" s="2" t="s">
        <v>221</v>
      </c>
      <c r="F3" s="2" t="s">
        <v>222</v>
      </c>
      <c r="G3" s="2" t="s">
        <v>223</v>
      </c>
      <c r="H3" s="2" t="s">
        <v>224</v>
      </c>
      <c r="I3" s="2" t="s">
        <v>225</v>
      </c>
      <c r="J3" s="2" t="s">
        <v>226</v>
      </c>
    </row>
    <row r="4" customFormat="false" ht="15" hidden="false" customHeight="false" outlineLevel="0" collapsed="false">
      <c r="A4" s="0" t="s">
        <v>18</v>
      </c>
      <c r="B4" s="0" t="s">
        <v>181</v>
      </c>
      <c r="C4" s="0" t="n">
        <v>120</v>
      </c>
      <c r="D4" s="6" t="n">
        <v>0.991666666666667</v>
      </c>
      <c r="E4" s="7" t="n">
        <v>0.002039</v>
      </c>
      <c r="F4" s="7" t="n">
        <v>0.506106</v>
      </c>
      <c r="G4" s="7" t="n">
        <v>0.199541</v>
      </c>
      <c r="H4" s="7" t="n">
        <v>0.819448</v>
      </c>
      <c r="I4" s="7" t="n">
        <v>1.826832</v>
      </c>
      <c r="J4" s="7" t="n">
        <v>0.819526</v>
      </c>
    </row>
    <row r="5" customFormat="false" ht="15" hidden="false" customHeight="false" outlineLevel="0" collapsed="false">
      <c r="A5" s="0" t="s">
        <v>18</v>
      </c>
      <c r="B5" s="0" t="s">
        <v>182</v>
      </c>
      <c r="C5" s="0" t="n">
        <v>120</v>
      </c>
      <c r="D5" s="6" t="n">
        <v>1</v>
      </c>
      <c r="E5" s="7" t="n">
        <v>0.0073215</v>
      </c>
      <c r="F5" s="7" t="n">
        <v>0.406134</v>
      </c>
      <c r="G5" s="7" t="n">
        <v>0.1724</v>
      </c>
      <c r="H5" s="7" t="n">
        <v>0.5862025</v>
      </c>
      <c r="I5" s="7" t="n">
        <v>1.742387</v>
      </c>
      <c r="J5" s="7" t="n">
        <v>0.5862445</v>
      </c>
    </row>
    <row r="6" customFormat="false" ht="15" hidden="false" customHeight="false" outlineLevel="0" collapsed="false">
      <c r="A6" s="0" t="s">
        <v>18</v>
      </c>
      <c r="B6" s="0" t="s">
        <v>183</v>
      </c>
      <c r="C6" s="0" t="n">
        <v>120</v>
      </c>
      <c r="D6" s="6" t="n">
        <v>1</v>
      </c>
      <c r="E6" s="7" t="n">
        <v>0.0037865</v>
      </c>
      <c r="F6" s="7" t="n">
        <v>0.72334</v>
      </c>
      <c r="G6" s="7" t="n">
        <v>0.2667165</v>
      </c>
      <c r="H6" s="7" t="n">
        <v>1.0354595</v>
      </c>
      <c r="I6" s="7" t="n">
        <v>2.356812</v>
      </c>
      <c r="J6" s="7" t="n">
        <v>1.0355045</v>
      </c>
    </row>
    <row r="7" customFormat="false" ht="15" hidden="false" customHeight="false" outlineLevel="0" collapsed="false">
      <c r="A7" s="0" t="s">
        <v>18</v>
      </c>
      <c r="B7" s="0" t="s">
        <v>184</v>
      </c>
      <c r="C7" s="0" t="n">
        <v>360</v>
      </c>
      <c r="D7" s="6" t="n">
        <v>0.997222222222222</v>
      </c>
      <c r="E7" s="7" t="n">
        <v>0.003864</v>
      </c>
      <c r="F7" s="7" t="n">
        <v>0.64784</v>
      </c>
      <c r="G7" s="7" t="n">
        <v>0.238712</v>
      </c>
      <c r="H7" s="7" t="n">
        <v>0.90226</v>
      </c>
      <c r="I7" s="7" t="n">
        <v>2.259636</v>
      </c>
      <c r="J7" s="7" t="n">
        <v>0.902345</v>
      </c>
    </row>
    <row r="8" customFormat="false" ht="15" hidden="false" customHeight="false" outlineLevel="0" collapsed="false">
      <c r="A8" s="0" t="s">
        <v>33</v>
      </c>
      <c r="B8" s="0" t="s">
        <v>181</v>
      </c>
      <c r="C8" s="0" t="n">
        <v>120</v>
      </c>
      <c r="D8" s="6" t="n">
        <v>0.975</v>
      </c>
      <c r="E8" s="7" t="n">
        <v>0.035472</v>
      </c>
      <c r="F8" s="7" t="n">
        <v>0.8671</v>
      </c>
      <c r="G8" s="7" t="n">
        <v>0.332036</v>
      </c>
      <c r="H8" s="7" t="n">
        <v>1.363774</v>
      </c>
      <c r="I8" s="7" t="n">
        <v>1.960349</v>
      </c>
      <c r="J8" s="7" t="n">
        <v>1.363808</v>
      </c>
    </row>
    <row r="9" customFormat="false" ht="15" hidden="false" customHeight="false" outlineLevel="0" collapsed="false">
      <c r="A9" s="0" t="s">
        <v>33</v>
      </c>
      <c r="B9" s="0" t="s">
        <v>182</v>
      </c>
      <c r="C9" s="0" t="n">
        <v>120</v>
      </c>
      <c r="D9" s="6" t="n">
        <v>0.975</v>
      </c>
      <c r="E9" s="7" t="n">
        <v>0.013806</v>
      </c>
      <c r="F9" s="7" t="n">
        <v>0.54275</v>
      </c>
      <c r="G9" s="7" t="n">
        <v>0.219018</v>
      </c>
      <c r="H9" s="7" t="n">
        <v>0.810157</v>
      </c>
      <c r="I9" s="7" t="n">
        <v>1.646043</v>
      </c>
      <c r="J9" s="7" t="n">
        <v>0.810217</v>
      </c>
    </row>
    <row r="10" customFormat="false" ht="15" hidden="false" customHeight="false" outlineLevel="0" collapsed="false">
      <c r="A10" s="0" t="s">
        <v>33</v>
      </c>
      <c r="B10" s="0" t="s">
        <v>183</v>
      </c>
      <c r="C10" s="0" t="n">
        <v>120</v>
      </c>
      <c r="D10" s="6" t="n">
        <v>0.983333333333333</v>
      </c>
      <c r="E10" s="7" t="n">
        <v>0.003026</v>
      </c>
      <c r="F10" s="7" t="n">
        <v>0.4462</v>
      </c>
      <c r="G10" s="7" t="n">
        <v>0.2645075</v>
      </c>
      <c r="H10" s="7" t="n">
        <v>0.7704395</v>
      </c>
      <c r="I10" s="7" t="n">
        <v>2.095266</v>
      </c>
      <c r="J10" s="7" t="n">
        <v>0.7707575</v>
      </c>
    </row>
    <row r="11" customFormat="false" ht="15" hidden="false" customHeight="false" outlineLevel="0" collapsed="false">
      <c r="A11" s="0" t="s">
        <v>33</v>
      </c>
      <c r="B11" s="0" t="s">
        <v>184</v>
      </c>
      <c r="C11" s="0" t="n">
        <v>360</v>
      </c>
      <c r="D11" s="6" t="n">
        <v>0.977777777777778</v>
      </c>
      <c r="E11" s="7" t="n">
        <v>0.0138715</v>
      </c>
      <c r="F11" s="7" t="n">
        <v>0.656122</v>
      </c>
      <c r="G11" s="7" t="n">
        <v>0.2680395</v>
      </c>
      <c r="H11" s="7" t="n">
        <v>0.9596095</v>
      </c>
      <c r="I11" s="7" t="n">
        <v>1.960349</v>
      </c>
      <c r="J11" s="7" t="n">
        <v>0.9596605</v>
      </c>
    </row>
    <row r="12" customFormat="false" ht="15" hidden="false" customHeight="false" outlineLevel="0" collapsed="false">
      <c r="A12" s="0" t="s">
        <v>48</v>
      </c>
      <c r="B12" s="0" t="s">
        <v>181</v>
      </c>
      <c r="C12" s="0" t="n">
        <v>120</v>
      </c>
      <c r="D12" s="6" t="n">
        <v>1</v>
      </c>
      <c r="E12" s="7" t="n">
        <v>0.0188975</v>
      </c>
      <c r="F12" s="7" t="n">
        <v>0.469725</v>
      </c>
      <c r="G12" s="7" t="n">
        <v>0.2563285</v>
      </c>
      <c r="H12" s="7" t="n">
        <v>0.77253</v>
      </c>
      <c r="I12" s="7" t="n">
        <v>1.430722</v>
      </c>
      <c r="J12" s="7" t="n">
        <v>0.7725675</v>
      </c>
    </row>
    <row r="13" customFormat="false" ht="15" hidden="false" customHeight="false" outlineLevel="0" collapsed="false">
      <c r="A13" s="0" t="s">
        <v>48</v>
      </c>
      <c r="B13" s="0" t="s">
        <v>182</v>
      </c>
      <c r="C13" s="0" t="n">
        <v>120</v>
      </c>
      <c r="D13" s="6" t="n">
        <v>1</v>
      </c>
      <c r="E13" s="7" t="n">
        <v>0.007419</v>
      </c>
      <c r="F13" s="7" t="n">
        <v>0.360138</v>
      </c>
      <c r="G13" s="7" t="n">
        <v>0.1645665</v>
      </c>
      <c r="H13" s="7" t="n">
        <v>0.557507</v>
      </c>
      <c r="I13" s="7" t="n">
        <v>1.46054</v>
      </c>
      <c r="J13" s="7" t="n">
        <v>0.557536</v>
      </c>
    </row>
    <row r="14" customFormat="false" ht="15" hidden="false" customHeight="false" outlineLevel="0" collapsed="false">
      <c r="A14" s="0" t="s">
        <v>48</v>
      </c>
      <c r="B14" s="0" t="s">
        <v>183</v>
      </c>
      <c r="C14" s="0" t="n">
        <v>120</v>
      </c>
      <c r="D14" s="6" t="n">
        <v>1</v>
      </c>
      <c r="E14" s="7" t="n">
        <v>0.0037405</v>
      </c>
      <c r="F14" s="7" t="n">
        <v>0.532193</v>
      </c>
      <c r="G14" s="7" t="n">
        <v>0.2871325</v>
      </c>
      <c r="H14" s="7" t="n">
        <v>0.845693</v>
      </c>
      <c r="I14" s="7" t="n">
        <v>1.356915</v>
      </c>
      <c r="J14" s="7" t="n">
        <v>0.8457425</v>
      </c>
    </row>
    <row r="15" customFormat="false" ht="15" hidden="false" customHeight="false" outlineLevel="0" collapsed="false">
      <c r="A15" s="0" t="s">
        <v>48</v>
      </c>
      <c r="B15" s="0" t="s">
        <v>184</v>
      </c>
      <c r="C15" s="0" t="n">
        <v>360</v>
      </c>
      <c r="D15" s="6" t="n">
        <v>1</v>
      </c>
      <c r="E15" s="7" t="n">
        <v>0.0075035</v>
      </c>
      <c r="F15" s="7" t="n">
        <v>0.4784215</v>
      </c>
      <c r="G15" s="7" t="n">
        <v>0.2640135</v>
      </c>
      <c r="H15" s="7" t="n">
        <v>0.7699975</v>
      </c>
      <c r="I15" s="7" t="n">
        <v>1.430722</v>
      </c>
      <c r="J15" s="7" t="n">
        <v>0.770037</v>
      </c>
    </row>
    <row r="16" customFormat="false" ht="15" hidden="false" customHeight="false" outlineLevel="0" collapsed="false">
      <c r="A16" s="0" t="s">
        <v>63</v>
      </c>
      <c r="B16" s="0" t="s">
        <v>181</v>
      </c>
      <c r="C16" s="0" t="n">
        <v>120</v>
      </c>
      <c r="D16" s="6" t="n">
        <v>1</v>
      </c>
      <c r="E16" s="7" t="n">
        <v>0.005169</v>
      </c>
      <c r="F16" s="7" t="n">
        <v>0.688742</v>
      </c>
      <c r="G16" s="7" t="n">
        <v>0.276148</v>
      </c>
      <c r="H16" s="7" t="n">
        <v>0.9571665</v>
      </c>
      <c r="I16" s="7" t="n">
        <v>2.499572</v>
      </c>
      <c r="J16" s="7" t="n">
        <v>0.9572045</v>
      </c>
    </row>
    <row r="17" customFormat="false" ht="15" hidden="false" customHeight="false" outlineLevel="0" collapsed="false">
      <c r="A17" s="0" t="s">
        <v>63</v>
      </c>
      <c r="B17" s="0" t="s">
        <v>182</v>
      </c>
      <c r="C17" s="0" t="n">
        <v>120</v>
      </c>
      <c r="D17" s="6" t="n">
        <v>1</v>
      </c>
      <c r="E17" s="7" t="n">
        <v>0.114037</v>
      </c>
      <c r="F17" s="7" t="n">
        <v>0.7737415</v>
      </c>
      <c r="G17" s="7" t="n">
        <v>0.357182</v>
      </c>
      <c r="H17" s="7" t="n">
        <v>1.2142345</v>
      </c>
      <c r="I17" s="7" t="n">
        <v>2.737802</v>
      </c>
      <c r="J17" s="7" t="n">
        <v>1.21428</v>
      </c>
    </row>
    <row r="18" customFormat="false" ht="15" hidden="false" customHeight="false" outlineLevel="0" collapsed="false">
      <c r="A18" s="0" t="s">
        <v>63</v>
      </c>
      <c r="B18" s="0" t="s">
        <v>183</v>
      </c>
      <c r="C18" s="0" t="n">
        <v>120</v>
      </c>
      <c r="D18" s="6" t="n">
        <v>0.983333333333333</v>
      </c>
      <c r="E18" s="7" t="n">
        <v>0.2363335</v>
      </c>
      <c r="F18" s="7" t="n">
        <v>1.066254</v>
      </c>
      <c r="G18" s="7" t="n">
        <v>0.5539755</v>
      </c>
      <c r="H18" s="7" t="n">
        <v>1.853415</v>
      </c>
      <c r="I18" s="7" t="n">
        <v>3.375676</v>
      </c>
      <c r="J18" s="7" t="n">
        <v>1.8534795</v>
      </c>
    </row>
    <row r="19" customFormat="false" ht="15" hidden="false" customHeight="false" outlineLevel="0" collapsed="false">
      <c r="A19" s="0" t="s">
        <v>63</v>
      </c>
      <c r="B19" s="0" t="s">
        <v>184</v>
      </c>
      <c r="C19" s="0" t="n">
        <v>360</v>
      </c>
      <c r="D19" s="6" t="n">
        <v>0.994444444444445</v>
      </c>
      <c r="E19" s="7" t="n">
        <v>0.115207</v>
      </c>
      <c r="F19" s="7" t="n">
        <v>0.87594</v>
      </c>
      <c r="G19" s="7" t="n">
        <v>0.389735</v>
      </c>
      <c r="H19" s="7" t="n">
        <v>1.4598885</v>
      </c>
      <c r="I19" s="7" t="n">
        <v>3.028393</v>
      </c>
      <c r="J19" s="7" t="n">
        <v>1.4599595</v>
      </c>
    </row>
    <row r="20" customFormat="false" ht="15" hidden="false" customHeight="false" outlineLevel="0" collapsed="false">
      <c r="A20" s="0" t="s">
        <v>77</v>
      </c>
      <c r="B20" s="0" t="s">
        <v>181</v>
      </c>
      <c r="C20" s="0" t="n">
        <v>120</v>
      </c>
      <c r="D20" s="6" t="n">
        <v>1</v>
      </c>
      <c r="E20" s="7" t="n">
        <v>0.0120175</v>
      </c>
      <c r="F20" s="7" t="n">
        <v>0.689324</v>
      </c>
      <c r="G20" s="7" t="n">
        <v>0.2940085</v>
      </c>
      <c r="H20" s="7" t="n">
        <v>1.03565</v>
      </c>
      <c r="I20" s="7" t="n">
        <v>1.843621</v>
      </c>
      <c r="J20" s="7" t="n">
        <v>1.035693</v>
      </c>
    </row>
    <row r="21" customFormat="false" ht="15" hidden="false" customHeight="false" outlineLevel="0" collapsed="false">
      <c r="A21" s="0" t="s">
        <v>77</v>
      </c>
      <c r="B21" s="0" t="s">
        <v>182</v>
      </c>
      <c r="C21" s="0" t="n">
        <v>120</v>
      </c>
      <c r="D21" s="6" t="n">
        <v>1</v>
      </c>
      <c r="E21" s="7" t="n">
        <v>0.0146215</v>
      </c>
      <c r="F21" s="7" t="n">
        <v>0.4328265</v>
      </c>
      <c r="G21" s="7" t="n">
        <v>0.190957</v>
      </c>
      <c r="H21" s="7" t="n">
        <v>0.656029</v>
      </c>
      <c r="I21" s="7" t="n">
        <v>1.412138</v>
      </c>
      <c r="J21" s="7" t="n">
        <v>0.656075</v>
      </c>
    </row>
    <row r="22" customFormat="false" ht="15" hidden="false" customHeight="false" outlineLevel="0" collapsed="false">
      <c r="A22" s="0" t="s">
        <v>77</v>
      </c>
      <c r="B22" s="0" t="s">
        <v>183</v>
      </c>
      <c r="C22" s="0" t="n">
        <v>120</v>
      </c>
      <c r="D22" s="6" t="n">
        <v>1</v>
      </c>
      <c r="E22" s="7" t="n">
        <v>0.1623045</v>
      </c>
      <c r="F22" s="7" t="n">
        <v>0.748429</v>
      </c>
      <c r="G22" s="7" t="n">
        <v>0.3468515</v>
      </c>
      <c r="H22" s="7" t="n">
        <v>1.287705</v>
      </c>
      <c r="I22" s="7" t="n">
        <v>2.111048</v>
      </c>
      <c r="J22" s="7" t="n">
        <v>1.2877525</v>
      </c>
    </row>
    <row r="23" customFormat="false" ht="15" hidden="false" customHeight="false" outlineLevel="0" collapsed="false">
      <c r="A23" s="0" t="s">
        <v>77</v>
      </c>
      <c r="B23" s="0" t="s">
        <v>184</v>
      </c>
      <c r="C23" s="0" t="n">
        <v>360</v>
      </c>
      <c r="D23" s="6" t="n">
        <v>1</v>
      </c>
      <c r="E23" s="7" t="n">
        <v>0.0247985</v>
      </c>
      <c r="F23" s="7" t="n">
        <v>0.6429055</v>
      </c>
      <c r="G23" s="7" t="n">
        <v>0.2930355</v>
      </c>
      <c r="H23" s="7" t="n">
        <v>1.0457</v>
      </c>
      <c r="I23" s="7" t="n">
        <v>1.921537</v>
      </c>
      <c r="J23" s="7" t="n">
        <v>1.045755</v>
      </c>
    </row>
    <row r="24" customFormat="false" ht="15" hidden="false" customHeight="false" outlineLevel="0" collapsed="false">
      <c r="A24" s="0" t="s">
        <v>91</v>
      </c>
      <c r="B24" s="0" t="s">
        <v>181</v>
      </c>
      <c r="C24" s="0" t="n">
        <v>120</v>
      </c>
      <c r="D24" s="6" t="n">
        <v>1</v>
      </c>
      <c r="E24" s="7" t="n">
        <v>0.0157165</v>
      </c>
      <c r="F24" s="7" t="n">
        <v>0.528772</v>
      </c>
      <c r="G24" s="7" t="n">
        <v>0.242054</v>
      </c>
      <c r="H24" s="7" t="n">
        <v>0.782715</v>
      </c>
      <c r="I24" s="7" t="n">
        <v>1.57476</v>
      </c>
      <c r="J24" s="7" t="n">
        <v>0.782749</v>
      </c>
    </row>
    <row r="25" customFormat="false" ht="15" hidden="false" customHeight="false" outlineLevel="0" collapsed="false">
      <c r="A25" s="0" t="s">
        <v>91</v>
      </c>
      <c r="B25" s="0" t="s">
        <v>182</v>
      </c>
      <c r="C25" s="0" t="n">
        <v>120</v>
      </c>
      <c r="D25" s="6" t="n">
        <v>1</v>
      </c>
      <c r="E25" s="7" t="n">
        <v>0.008938</v>
      </c>
      <c r="F25" s="7" t="n">
        <v>0.3993515</v>
      </c>
      <c r="G25" s="7" t="n">
        <v>0.192871</v>
      </c>
      <c r="H25" s="7" t="n">
        <v>0.572545</v>
      </c>
      <c r="I25" s="7" t="n">
        <v>1.833852</v>
      </c>
      <c r="J25" s="7" t="n">
        <v>0.5726275</v>
      </c>
    </row>
    <row r="26" customFormat="false" ht="15" hidden="false" customHeight="false" outlineLevel="0" collapsed="false">
      <c r="A26" s="0" t="s">
        <v>91</v>
      </c>
      <c r="B26" s="0" t="s">
        <v>183</v>
      </c>
      <c r="C26" s="0" t="n">
        <v>120</v>
      </c>
      <c r="D26" s="6" t="n">
        <v>0.991666666666667</v>
      </c>
      <c r="E26" s="7" t="n">
        <v>0.003069</v>
      </c>
      <c r="F26" s="7" t="n">
        <v>1.021456</v>
      </c>
      <c r="G26" s="7" t="n">
        <v>0.351029</v>
      </c>
      <c r="H26" s="7" t="n">
        <v>1.397107</v>
      </c>
      <c r="I26" s="7" t="n">
        <v>1.81285</v>
      </c>
      <c r="J26" s="7" t="n">
        <v>1.397173</v>
      </c>
    </row>
    <row r="27" customFormat="false" ht="15" hidden="false" customHeight="false" outlineLevel="0" collapsed="false">
      <c r="A27" s="0" t="s">
        <v>91</v>
      </c>
      <c r="B27" s="0" t="s">
        <v>184</v>
      </c>
      <c r="C27" s="0" t="n">
        <v>360</v>
      </c>
      <c r="D27" s="6" t="n">
        <v>0.997222222222222</v>
      </c>
      <c r="E27" s="7" t="n">
        <v>0.009</v>
      </c>
      <c r="F27" s="7" t="n">
        <v>0.624858</v>
      </c>
      <c r="G27" s="7" t="n">
        <v>0.25511</v>
      </c>
      <c r="H27" s="7" t="n">
        <v>0.93775</v>
      </c>
      <c r="I27" s="7" t="n">
        <v>1.803038</v>
      </c>
      <c r="J27" s="7" t="n">
        <v>0.937793</v>
      </c>
    </row>
    <row r="28" customFormat="false" ht="15" hidden="false" customHeight="false" outlineLevel="0" collapsed="false">
      <c r="A28" s="0" t="s">
        <v>102</v>
      </c>
      <c r="B28" s="0" t="s">
        <v>181</v>
      </c>
      <c r="C28" s="0" t="n">
        <v>120</v>
      </c>
      <c r="D28" s="6" t="n">
        <v>1</v>
      </c>
      <c r="E28" s="7" t="n">
        <v>0.001815</v>
      </c>
      <c r="F28" s="7" t="n">
        <v>0.535769</v>
      </c>
      <c r="G28" s="7" t="n">
        <v>0.2232485</v>
      </c>
      <c r="H28" s="7" t="n">
        <v>0.794074</v>
      </c>
      <c r="I28" s="7" t="n">
        <v>1.388601</v>
      </c>
      <c r="J28" s="7" t="n">
        <v>0.7941085</v>
      </c>
    </row>
    <row r="29" customFormat="false" ht="15" hidden="false" customHeight="false" outlineLevel="0" collapsed="false">
      <c r="A29" s="0" t="s">
        <v>102</v>
      </c>
      <c r="B29" s="0" t="s">
        <v>182</v>
      </c>
      <c r="C29" s="0" t="n">
        <v>120</v>
      </c>
      <c r="D29" s="6" t="n">
        <v>1</v>
      </c>
      <c r="E29" s="7" t="n">
        <v>0.013655</v>
      </c>
      <c r="F29" s="7" t="n">
        <v>0.3144885</v>
      </c>
      <c r="G29" s="7" t="n">
        <v>0.161532</v>
      </c>
      <c r="H29" s="7" t="n">
        <v>0.4976535</v>
      </c>
      <c r="I29" s="7" t="n">
        <v>1.372947</v>
      </c>
      <c r="J29" s="7" t="n">
        <v>0.4976935</v>
      </c>
    </row>
    <row r="30" customFormat="false" ht="15" hidden="false" customHeight="false" outlineLevel="0" collapsed="false">
      <c r="A30" s="0" t="s">
        <v>102</v>
      </c>
      <c r="B30" s="0" t="s">
        <v>183</v>
      </c>
      <c r="C30" s="0" t="n">
        <v>120</v>
      </c>
      <c r="D30" s="6" t="n">
        <v>1</v>
      </c>
      <c r="E30" s="7" t="n">
        <v>0.003012</v>
      </c>
      <c r="F30" s="7" t="n">
        <v>0.5642175</v>
      </c>
      <c r="G30" s="7" t="n">
        <v>0.2619115</v>
      </c>
      <c r="H30" s="7" t="n">
        <v>0.8518</v>
      </c>
      <c r="I30" s="7" t="n">
        <v>1.801875</v>
      </c>
      <c r="J30" s="7" t="n">
        <v>0.8625075</v>
      </c>
    </row>
    <row r="31" customFormat="false" ht="15" hidden="false" customHeight="false" outlineLevel="0" collapsed="false">
      <c r="A31" s="0" t="s">
        <v>102</v>
      </c>
      <c r="B31" s="0" t="s">
        <v>184</v>
      </c>
      <c r="C31" s="0" t="n">
        <v>360</v>
      </c>
      <c r="D31" s="6" t="n">
        <v>1</v>
      </c>
      <c r="E31" s="7" t="n">
        <v>0.0031585</v>
      </c>
      <c r="F31" s="7" t="n">
        <v>0.51485</v>
      </c>
      <c r="G31" s="7" t="n">
        <v>0.2374895</v>
      </c>
      <c r="H31" s="7" t="n">
        <v>0.779959</v>
      </c>
      <c r="I31" s="7" t="n">
        <v>1.574713</v>
      </c>
      <c r="J31" s="7" t="n">
        <v>0.782288</v>
      </c>
    </row>
    <row r="32" customFormat="false" ht="15" hidden="false" customHeight="false" outlineLevel="0" collapsed="false">
      <c r="A32" s="0" t="s">
        <v>115</v>
      </c>
      <c r="B32" s="0" t="s">
        <v>181</v>
      </c>
      <c r="C32" s="0" t="n">
        <v>120</v>
      </c>
      <c r="D32" s="6" t="n">
        <v>1</v>
      </c>
      <c r="E32" s="7" t="n">
        <v>0.003821</v>
      </c>
      <c r="F32" s="7" t="n">
        <v>0.6568375</v>
      </c>
      <c r="G32" s="7" t="n">
        <v>0.2780735</v>
      </c>
      <c r="H32" s="7" t="n">
        <v>0.988687</v>
      </c>
      <c r="I32" s="7" t="n">
        <v>1.799523</v>
      </c>
      <c r="J32" s="7" t="n">
        <v>0.9887275</v>
      </c>
    </row>
    <row r="33" customFormat="false" ht="15" hidden="false" customHeight="false" outlineLevel="0" collapsed="false">
      <c r="A33" s="0" t="s">
        <v>115</v>
      </c>
      <c r="B33" s="0" t="s">
        <v>182</v>
      </c>
      <c r="C33" s="0" t="n">
        <v>120</v>
      </c>
      <c r="D33" s="6" t="n">
        <v>1</v>
      </c>
      <c r="E33" s="7" t="n">
        <v>0.0184715</v>
      </c>
      <c r="F33" s="7" t="n">
        <v>0.3751515</v>
      </c>
      <c r="G33" s="7" t="n">
        <v>0.159257</v>
      </c>
      <c r="H33" s="7" t="n">
        <v>0.5424695</v>
      </c>
      <c r="I33" s="7" t="n">
        <v>1.759682</v>
      </c>
      <c r="J33" s="7" t="n">
        <v>0.5425195</v>
      </c>
    </row>
    <row r="34" customFormat="false" ht="15" hidden="false" customHeight="false" outlineLevel="0" collapsed="false">
      <c r="A34" s="0" t="s">
        <v>115</v>
      </c>
      <c r="B34" s="0" t="s">
        <v>183</v>
      </c>
      <c r="C34" s="0" t="n">
        <v>120</v>
      </c>
      <c r="D34" s="6" t="n">
        <v>1</v>
      </c>
      <c r="E34" s="7" t="n">
        <v>0.002655</v>
      </c>
      <c r="F34" s="7" t="n">
        <v>0.6825965</v>
      </c>
      <c r="G34" s="7" t="n">
        <v>0.285437</v>
      </c>
      <c r="H34" s="7" t="n">
        <v>0.9744125</v>
      </c>
      <c r="I34" s="7" t="n">
        <v>1.780096</v>
      </c>
      <c r="J34" s="7" t="n">
        <v>0.9744755</v>
      </c>
    </row>
    <row r="35" customFormat="false" ht="15" hidden="false" customHeight="false" outlineLevel="0" collapsed="false">
      <c r="A35" s="0" t="s">
        <v>115</v>
      </c>
      <c r="B35" s="0" t="s">
        <v>184</v>
      </c>
      <c r="C35" s="0" t="n">
        <v>360</v>
      </c>
      <c r="D35" s="6" t="n">
        <v>1</v>
      </c>
      <c r="E35" s="7" t="n">
        <v>0.007222</v>
      </c>
      <c r="F35" s="7" t="n">
        <v>0.563332</v>
      </c>
      <c r="G35" s="7" t="n">
        <v>0.254943</v>
      </c>
      <c r="H35" s="7" t="n">
        <v>0.8485</v>
      </c>
      <c r="I35" s="7" t="n">
        <v>1.784279</v>
      </c>
      <c r="J35" s="7" t="n">
        <v>0.8485355</v>
      </c>
    </row>
    <row r="36" customFormat="false" ht="15" hidden="false" customHeight="false" outlineLevel="0" collapsed="false">
      <c r="A36" s="0" t="s">
        <v>129</v>
      </c>
      <c r="B36" s="0" t="s">
        <v>181</v>
      </c>
      <c r="C36" s="0" t="n">
        <v>120</v>
      </c>
      <c r="D36" s="6" t="n">
        <v>1</v>
      </c>
      <c r="E36" s="7" t="n">
        <v>0.0190435</v>
      </c>
      <c r="F36" s="7" t="n">
        <v>0.551002</v>
      </c>
      <c r="G36" s="7" t="n">
        <v>0.2956955</v>
      </c>
      <c r="H36" s="7" t="n">
        <v>0.9235715</v>
      </c>
      <c r="I36" s="7" t="n">
        <v>1.672738</v>
      </c>
      <c r="J36" s="7" t="n">
        <v>0.9236195</v>
      </c>
    </row>
    <row r="37" customFormat="false" ht="15" hidden="false" customHeight="false" outlineLevel="0" collapsed="false">
      <c r="A37" s="0" t="s">
        <v>129</v>
      </c>
      <c r="B37" s="0" t="s">
        <v>182</v>
      </c>
      <c r="C37" s="0" t="n">
        <v>120</v>
      </c>
      <c r="D37" s="6" t="n">
        <v>0.991666666666667</v>
      </c>
      <c r="E37" s="7" t="n">
        <v>0.002328</v>
      </c>
      <c r="F37" s="7" t="n">
        <v>0.27689</v>
      </c>
      <c r="G37" s="7" t="n">
        <v>0.165553</v>
      </c>
      <c r="H37" s="7" t="n">
        <v>0.439732</v>
      </c>
      <c r="I37" s="7" t="n">
        <v>1.408054</v>
      </c>
      <c r="J37" s="7" t="n">
        <v>0.439775</v>
      </c>
    </row>
    <row r="38" customFormat="false" ht="15" hidden="false" customHeight="false" outlineLevel="0" collapsed="false">
      <c r="A38" s="0" t="s">
        <v>129</v>
      </c>
      <c r="B38" s="0" t="s">
        <v>183</v>
      </c>
      <c r="C38" s="0" t="n">
        <v>120</v>
      </c>
      <c r="D38" s="6" t="n">
        <v>1</v>
      </c>
      <c r="E38" s="7" t="n">
        <v>0.0034905</v>
      </c>
      <c r="F38" s="7" t="n">
        <v>0.5217035</v>
      </c>
      <c r="G38" s="7" t="n">
        <v>0.286452</v>
      </c>
      <c r="H38" s="7" t="n">
        <v>0.8179435</v>
      </c>
      <c r="I38" s="7" t="n">
        <v>1.53343</v>
      </c>
      <c r="J38" s="7" t="n">
        <v>0.8179995</v>
      </c>
    </row>
    <row r="39" customFormat="false" ht="15" hidden="false" customHeight="false" outlineLevel="0" collapsed="false">
      <c r="A39" s="0" t="s">
        <v>129</v>
      </c>
      <c r="B39" s="0" t="s">
        <v>184</v>
      </c>
      <c r="C39" s="0" t="n">
        <v>360</v>
      </c>
      <c r="D39" s="6" t="n">
        <v>0.997222222222222</v>
      </c>
      <c r="E39" s="7" t="n">
        <v>0.003635</v>
      </c>
      <c r="F39" s="7" t="n">
        <v>0.504696</v>
      </c>
      <c r="G39" s="7" t="n">
        <v>0.273754</v>
      </c>
      <c r="H39" s="7" t="n">
        <v>0.803385</v>
      </c>
      <c r="I39" s="7" t="n">
        <v>1.53343</v>
      </c>
      <c r="J39" s="7" t="n">
        <v>0.803438</v>
      </c>
    </row>
    <row r="40" customFormat="false" ht="15" hidden="false" customHeight="false" outlineLevel="0" collapsed="false">
      <c r="A40" s="0" t="s">
        <v>141</v>
      </c>
      <c r="B40" s="0" t="s">
        <v>181</v>
      </c>
      <c r="C40" s="0" t="n">
        <v>120</v>
      </c>
      <c r="D40" s="6" t="n">
        <v>1</v>
      </c>
      <c r="E40" s="7" t="n">
        <v>0.0026455</v>
      </c>
      <c r="F40" s="7" t="n">
        <v>0.2107375</v>
      </c>
      <c r="G40" s="7" t="n">
        <v>0.1768835</v>
      </c>
      <c r="H40" s="7" t="n">
        <v>0.3975395</v>
      </c>
      <c r="I40" s="7" t="n">
        <v>1.186241</v>
      </c>
      <c r="J40" s="7" t="n">
        <v>0.397583</v>
      </c>
    </row>
    <row r="41" customFormat="false" ht="15" hidden="false" customHeight="false" outlineLevel="0" collapsed="false">
      <c r="A41" s="0" t="s">
        <v>141</v>
      </c>
      <c r="B41" s="0" t="s">
        <v>182</v>
      </c>
      <c r="C41" s="0" t="n">
        <v>120</v>
      </c>
      <c r="D41" s="6" t="n">
        <v>1</v>
      </c>
      <c r="E41" s="7" t="n">
        <v>0.0136755</v>
      </c>
      <c r="F41" s="7" t="n">
        <v>0.183117</v>
      </c>
      <c r="G41" s="7" t="n">
        <v>0.1149565</v>
      </c>
      <c r="H41" s="7" t="n">
        <v>0.331362</v>
      </c>
      <c r="I41" s="7" t="n">
        <v>1.301357</v>
      </c>
      <c r="J41" s="7" t="n">
        <v>0.331426</v>
      </c>
    </row>
    <row r="42" customFormat="false" ht="15" hidden="false" customHeight="false" outlineLevel="0" collapsed="false">
      <c r="A42" s="0" t="s">
        <v>141</v>
      </c>
      <c r="B42" s="0" t="s">
        <v>183</v>
      </c>
      <c r="C42" s="0" t="n">
        <v>120</v>
      </c>
      <c r="D42" s="6" t="n">
        <v>0.991666666666667</v>
      </c>
      <c r="E42" s="7" t="n">
        <v>0.171025</v>
      </c>
      <c r="F42" s="7" t="n">
        <v>0.474753</v>
      </c>
      <c r="G42" s="7" t="n">
        <v>0.292165</v>
      </c>
      <c r="H42" s="7" t="n">
        <v>0.933976</v>
      </c>
      <c r="I42" s="7" t="n">
        <v>1.870451</v>
      </c>
      <c r="J42" s="7" t="n">
        <v>0.934017</v>
      </c>
    </row>
    <row r="43" customFormat="false" ht="15" hidden="false" customHeight="false" outlineLevel="0" collapsed="false">
      <c r="A43" s="0" t="s">
        <v>141</v>
      </c>
      <c r="B43" s="0" t="s">
        <v>184</v>
      </c>
      <c r="C43" s="0" t="n">
        <v>360</v>
      </c>
      <c r="D43" s="6" t="n">
        <v>0.997222222222222</v>
      </c>
      <c r="E43" s="7" t="n">
        <v>0.013785</v>
      </c>
      <c r="F43" s="7" t="n">
        <v>0.379873</v>
      </c>
      <c r="G43" s="7" t="n">
        <v>0.229175</v>
      </c>
      <c r="H43" s="7" t="n">
        <v>0.725174</v>
      </c>
      <c r="I43" s="7" t="n">
        <v>1.690316</v>
      </c>
      <c r="J43" s="7" t="n">
        <v>0.725224</v>
      </c>
    </row>
    <row r="44" customFormat="false" ht="15" hidden="false" customHeight="false" outlineLevel="0" collapsed="false">
      <c r="A44" s="0" t="s">
        <v>152</v>
      </c>
      <c r="B44" s="0" t="s">
        <v>181</v>
      </c>
      <c r="C44" s="0" t="n">
        <v>120</v>
      </c>
      <c r="D44" s="6" t="n">
        <v>0.85</v>
      </c>
      <c r="E44" s="7" t="n">
        <v>0.088752</v>
      </c>
      <c r="F44" s="7" t="n">
        <v>1.149521</v>
      </c>
      <c r="G44" s="7" t="n">
        <v>0.2909675</v>
      </c>
      <c r="H44" s="7" t="n">
        <v>1.722008</v>
      </c>
      <c r="I44" s="7" t="n">
        <v>5.037637</v>
      </c>
      <c r="J44" s="7" t="n">
        <v>1.722045</v>
      </c>
    </row>
    <row r="45" customFormat="false" ht="15" hidden="false" customHeight="false" outlineLevel="0" collapsed="false">
      <c r="A45" s="0" t="s">
        <v>152</v>
      </c>
      <c r="B45" s="0" t="s">
        <v>182</v>
      </c>
      <c r="C45" s="0" t="n">
        <v>120</v>
      </c>
      <c r="D45" s="6" t="n">
        <v>0.875</v>
      </c>
      <c r="E45" s="7" t="n">
        <v>0.012965</v>
      </c>
      <c r="F45" s="7" t="n">
        <v>1.561758</v>
      </c>
      <c r="G45" s="7" t="n">
        <v>0.172903</v>
      </c>
      <c r="H45" s="7" t="n">
        <v>2.220415</v>
      </c>
      <c r="I45" s="7" t="n">
        <v>5.667929</v>
      </c>
      <c r="J45" s="7" t="n">
        <v>2.220457</v>
      </c>
    </row>
    <row r="46" customFormat="false" ht="15" hidden="false" customHeight="false" outlineLevel="0" collapsed="false">
      <c r="A46" s="0" t="s">
        <v>152</v>
      </c>
      <c r="B46" s="0" t="s">
        <v>183</v>
      </c>
      <c r="C46" s="0" t="n">
        <v>120</v>
      </c>
      <c r="D46" s="6" t="n">
        <v>0.9</v>
      </c>
      <c r="E46" s="7" t="n">
        <v>0.158414</v>
      </c>
      <c r="F46" s="7" t="n">
        <v>1.1676905</v>
      </c>
      <c r="G46" s="7" t="n">
        <v>0.3236015</v>
      </c>
      <c r="H46" s="7" t="n">
        <v>1.901824</v>
      </c>
      <c r="I46" s="7" t="n">
        <v>5.178879</v>
      </c>
      <c r="J46" s="7" t="n">
        <v>1.901874</v>
      </c>
    </row>
    <row r="47" customFormat="false" ht="15" hidden="false" customHeight="false" outlineLevel="0" collapsed="false">
      <c r="A47" s="0" t="s">
        <v>152</v>
      </c>
      <c r="B47" s="0" t="s">
        <v>184</v>
      </c>
      <c r="C47" s="0" t="n">
        <v>360</v>
      </c>
      <c r="D47" s="6" t="n">
        <v>0.875</v>
      </c>
      <c r="E47" s="7" t="n">
        <v>0.08882</v>
      </c>
      <c r="F47" s="7" t="n">
        <v>1.253612</v>
      </c>
      <c r="G47" s="7" t="n">
        <v>0.267928</v>
      </c>
      <c r="H47" s="7" t="n">
        <v>1.979331</v>
      </c>
      <c r="I47" s="7" t="n">
        <v>5.372099</v>
      </c>
      <c r="J47" s="7" t="n">
        <v>1.979368</v>
      </c>
    </row>
    <row r="48" customFormat="false" ht="15" hidden="false" customHeight="false" outlineLevel="0" collapsed="false">
      <c r="A48" s="0" t="s">
        <v>163</v>
      </c>
      <c r="B48" s="0" t="s">
        <v>181</v>
      </c>
      <c r="C48" s="0" t="n">
        <v>120</v>
      </c>
      <c r="D48" s="6" t="n">
        <v>0.991666666666667</v>
      </c>
      <c r="E48" s="7" t="n">
        <v>0.007403</v>
      </c>
      <c r="F48" s="7" t="n">
        <v>0.731772</v>
      </c>
      <c r="G48" s="7" t="n">
        <v>0.316038</v>
      </c>
      <c r="H48" s="7" t="n">
        <v>1.049729</v>
      </c>
      <c r="I48" s="7" t="n">
        <v>3.824443</v>
      </c>
      <c r="J48" s="7" t="n">
        <v>1.049764</v>
      </c>
    </row>
    <row r="49" customFormat="false" ht="15" hidden="false" customHeight="false" outlineLevel="0" collapsed="false">
      <c r="A49" s="0" t="s">
        <v>163</v>
      </c>
      <c r="B49" s="0" t="s">
        <v>182</v>
      </c>
      <c r="C49" s="0" t="n">
        <v>120</v>
      </c>
      <c r="D49" s="6" t="n">
        <v>0.991666666666667</v>
      </c>
      <c r="E49" s="7" t="n">
        <v>0.007123</v>
      </c>
      <c r="F49" s="7" t="n">
        <v>0.742594</v>
      </c>
      <c r="G49" s="7" t="n">
        <v>0.230935</v>
      </c>
      <c r="H49" s="7" t="n">
        <v>0.999048</v>
      </c>
      <c r="I49" s="7" t="n">
        <v>3.256826</v>
      </c>
      <c r="J49" s="7" t="n">
        <v>0.999089</v>
      </c>
    </row>
    <row r="50" customFormat="false" ht="15" hidden="false" customHeight="false" outlineLevel="0" collapsed="false">
      <c r="A50" s="0" t="s">
        <v>163</v>
      </c>
      <c r="B50" s="0" t="s">
        <v>183</v>
      </c>
      <c r="C50" s="0" t="n">
        <v>120</v>
      </c>
      <c r="D50" s="6" t="n">
        <v>1</v>
      </c>
      <c r="E50" s="7" t="n">
        <v>0.0032395</v>
      </c>
      <c r="F50" s="7" t="n">
        <v>1.12802</v>
      </c>
      <c r="G50" s="7" t="n">
        <v>0.4926945</v>
      </c>
      <c r="H50" s="7" t="n">
        <v>1.6182135</v>
      </c>
      <c r="I50" s="7" t="n">
        <v>3.204441</v>
      </c>
      <c r="J50" s="7" t="n">
        <v>1.6182705</v>
      </c>
    </row>
    <row r="51" customFormat="false" ht="15" hidden="false" customHeight="false" outlineLevel="0" collapsed="false">
      <c r="A51" s="0" t="s">
        <v>163</v>
      </c>
      <c r="B51" s="0" t="s">
        <v>184</v>
      </c>
      <c r="C51" s="0" t="n">
        <v>360</v>
      </c>
      <c r="D51" s="6" t="n">
        <v>0.994444444444445</v>
      </c>
      <c r="E51" s="7" t="n">
        <v>0.0067735</v>
      </c>
      <c r="F51" s="7" t="n">
        <v>0.9086495</v>
      </c>
      <c r="G51" s="7" t="n">
        <v>0.4103995</v>
      </c>
      <c r="H51" s="7" t="n">
        <v>1.3655615</v>
      </c>
      <c r="I51" s="7" t="n">
        <v>3.412897</v>
      </c>
      <c r="J51" s="7" t="n">
        <v>1.3656015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
    <col collapsed="false" customWidth="true" hidden="false" outlineLevel="0" max="3" min="3" style="0" width="18"/>
    <col collapsed="false" customWidth="true" hidden="false" outlineLevel="0" max="10" min="4" style="0" width="16"/>
  </cols>
  <sheetData>
    <row r="1" customFormat="false" ht="45" hidden="false" customHeight="true" outlineLevel="0" collapsed="false">
      <c r="A1" s="2" t="s">
        <v>1</v>
      </c>
      <c r="B1" s="2" t="s">
        <v>227</v>
      </c>
      <c r="C1" s="2" t="s">
        <v>174</v>
      </c>
      <c r="D1" s="2" t="s">
        <v>175</v>
      </c>
      <c r="E1" s="2" t="s">
        <v>2</v>
      </c>
      <c r="F1" s="2" t="s">
        <v>177</v>
      </c>
      <c r="G1" s="2" t="s">
        <v>178</v>
      </c>
      <c r="H1" s="2" t="s">
        <v>179</v>
      </c>
      <c r="I1" s="2" t="s">
        <v>180</v>
      </c>
      <c r="J1" s="2" t="s">
        <v>7</v>
      </c>
    </row>
    <row r="2" customFormat="false" ht="15" hidden="false" customHeight="false" outlineLevel="0" collapsed="false">
      <c r="A2" s="0" t="s">
        <v>18</v>
      </c>
      <c r="B2" s="0" t="s">
        <v>228</v>
      </c>
      <c r="C2" s="0" t="s">
        <v>181</v>
      </c>
      <c r="D2" s="0" t="n">
        <v>700</v>
      </c>
      <c r="E2" s="6" t="n">
        <v>0.994285714285714</v>
      </c>
      <c r="F2" s="6" t="n">
        <v>0.985400075576777</v>
      </c>
      <c r="G2" s="6" t="n">
        <v>0.997775684423769</v>
      </c>
      <c r="H2" s="7" t="n">
        <v>0.421</v>
      </c>
      <c r="I2" s="7" t="n">
        <v>0.965</v>
      </c>
      <c r="J2" s="6" t="n">
        <v>0.985632183908046</v>
      </c>
    </row>
    <row r="3" customFormat="false" ht="15" hidden="false" customHeight="false" outlineLevel="0" collapsed="false">
      <c r="A3" s="0" t="s">
        <v>18</v>
      </c>
      <c r="B3" s="0" t="s">
        <v>228</v>
      </c>
      <c r="C3" s="0" t="s">
        <v>182</v>
      </c>
      <c r="D3" s="0" t="n">
        <v>700</v>
      </c>
      <c r="E3" s="6" t="n">
        <v>0.99</v>
      </c>
      <c r="F3" s="6" t="n">
        <v>0.979503326116614</v>
      </c>
      <c r="G3" s="6" t="n">
        <v>0.995147788566008</v>
      </c>
      <c r="H3" s="7" t="n">
        <v>0.736</v>
      </c>
      <c r="I3" s="7" t="n">
        <v>1.706</v>
      </c>
      <c r="J3" s="6" t="n">
        <v>0.987012987012987</v>
      </c>
    </row>
    <row r="4" customFormat="false" ht="15" hidden="false" customHeight="false" outlineLevel="0" collapsed="false">
      <c r="A4" s="0" t="s">
        <v>18</v>
      </c>
      <c r="B4" s="0" t="s">
        <v>228</v>
      </c>
      <c r="C4" s="0" t="s">
        <v>183</v>
      </c>
      <c r="D4" s="0" t="n">
        <v>700</v>
      </c>
      <c r="E4" s="6" t="n">
        <v>0.995714285714286</v>
      </c>
      <c r="F4" s="6" t="n">
        <v>0.987475859383073</v>
      </c>
      <c r="G4" s="6" t="n">
        <v>0.99854144905678</v>
      </c>
      <c r="H4" s="7" t="n">
        <v>1.108</v>
      </c>
      <c r="I4" s="7" t="n">
        <v>1.673</v>
      </c>
      <c r="J4" s="6" t="n">
        <v>0.991391678622669</v>
      </c>
    </row>
    <row r="5" customFormat="false" ht="15" hidden="false" customHeight="false" outlineLevel="0" collapsed="false">
      <c r="A5" s="0" t="s">
        <v>18</v>
      </c>
      <c r="B5" s="0" t="s">
        <v>228</v>
      </c>
      <c r="C5" s="0" t="s">
        <v>184</v>
      </c>
      <c r="D5" s="0" t="n">
        <v>2100</v>
      </c>
      <c r="E5" s="6" t="n">
        <v>0.993333333333333</v>
      </c>
      <c r="F5" s="6" t="n">
        <v>0.988840350087163</v>
      </c>
      <c r="G5" s="6" t="n">
        <v>0.996024670169115</v>
      </c>
      <c r="H5" s="7" t="n">
        <v>0.8155</v>
      </c>
      <c r="I5" s="7" t="n">
        <v>1.513</v>
      </c>
      <c r="J5" s="6" t="n">
        <v>0.988015340364334</v>
      </c>
    </row>
    <row r="6" customFormat="false" ht="15" hidden="false" customHeight="false" outlineLevel="0" collapsed="false">
      <c r="A6" s="0" t="s">
        <v>18</v>
      </c>
      <c r="B6" s="0" t="s">
        <v>229</v>
      </c>
      <c r="C6" s="0" t="s">
        <v>181</v>
      </c>
      <c r="D6" s="0" t="n">
        <v>700</v>
      </c>
      <c r="E6" s="6" t="n">
        <v>1</v>
      </c>
      <c r="F6" s="6" t="n">
        <v>0.994541953757777</v>
      </c>
      <c r="G6" s="6" t="n">
        <v>1</v>
      </c>
      <c r="H6" s="7" t="n">
        <v>0.542</v>
      </c>
      <c r="I6" s="7" t="n">
        <v>1.523</v>
      </c>
      <c r="J6" s="6" t="n">
        <v>0.997142857142857</v>
      </c>
    </row>
    <row r="7" customFormat="false" ht="15" hidden="false" customHeight="false" outlineLevel="0" collapsed="false">
      <c r="A7" s="0" t="s">
        <v>18</v>
      </c>
      <c r="B7" s="0" t="s">
        <v>229</v>
      </c>
      <c r="C7" s="0" t="s">
        <v>182</v>
      </c>
      <c r="D7" s="0" t="n">
        <v>700</v>
      </c>
      <c r="E7" s="6" t="n">
        <v>0.997142857142857</v>
      </c>
      <c r="F7" s="6" t="n">
        <v>0.989642722089369</v>
      </c>
      <c r="G7" s="6" t="n">
        <v>0.999216134789793</v>
      </c>
      <c r="H7" s="7" t="n">
        <v>0.2495</v>
      </c>
      <c r="I7" s="7" t="n">
        <v>1.264</v>
      </c>
      <c r="J7" s="6" t="n">
        <v>0.995702005730659</v>
      </c>
    </row>
    <row r="8" customFormat="false" ht="15" hidden="false" customHeight="false" outlineLevel="0" collapsed="false">
      <c r="A8" s="0" t="s">
        <v>18</v>
      </c>
      <c r="B8" s="0" t="s">
        <v>229</v>
      </c>
      <c r="C8" s="0" t="s">
        <v>183</v>
      </c>
      <c r="D8" s="0" t="n">
        <v>700</v>
      </c>
      <c r="E8" s="6" t="n">
        <v>0.997142857142857</v>
      </c>
      <c r="F8" s="6" t="n">
        <v>0.989642722089369</v>
      </c>
      <c r="G8" s="6" t="n">
        <v>0.999216134789793</v>
      </c>
      <c r="H8" s="7" t="n">
        <v>0.88</v>
      </c>
      <c r="I8" s="7" t="n">
        <v>1.675</v>
      </c>
      <c r="J8" s="6" t="n">
        <v>0.994269340974212</v>
      </c>
    </row>
    <row r="9" customFormat="false" ht="15" hidden="false" customHeight="false" outlineLevel="0" collapsed="false">
      <c r="A9" s="0" t="s">
        <v>18</v>
      </c>
      <c r="B9" s="0" t="s">
        <v>229</v>
      </c>
      <c r="C9" s="0" t="s">
        <v>184</v>
      </c>
      <c r="D9" s="0" t="n">
        <v>2100</v>
      </c>
      <c r="E9" s="6" t="n">
        <v>0.998095238095238</v>
      </c>
      <c r="F9" s="6" t="n">
        <v>0.995112393687503</v>
      </c>
      <c r="G9" s="6" t="n">
        <v>0.999259045683217</v>
      </c>
      <c r="H9" s="7" t="n">
        <v>0.6495</v>
      </c>
      <c r="I9" s="7" t="n">
        <v>1.509</v>
      </c>
      <c r="J9" s="6" t="n">
        <v>0.995706106870229</v>
      </c>
    </row>
    <row r="10" customFormat="false" ht="15" hidden="false" customHeight="false" outlineLevel="0" collapsed="false">
      <c r="A10" s="0" t="s">
        <v>18</v>
      </c>
      <c r="B10" s="0" t="s">
        <v>230</v>
      </c>
      <c r="C10" s="0" t="s">
        <v>181</v>
      </c>
      <c r="D10" s="0" t="n">
        <v>700</v>
      </c>
      <c r="E10" s="6" t="n">
        <v>0.997142857142857</v>
      </c>
      <c r="F10" s="6" t="n">
        <v>0.989642722089369</v>
      </c>
      <c r="G10" s="6" t="n">
        <v>0.999216134789793</v>
      </c>
      <c r="H10" s="7" t="n">
        <v>0.5585</v>
      </c>
      <c r="I10" s="7" t="n">
        <v>1.489</v>
      </c>
      <c r="J10" s="6" t="n">
        <v>0.992836676217765</v>
      </c>
    </row>
    <row r="11" customFormat="false" ht="15" hidden="false" customHeight="false" outlineLevel="0" collapsed="false">
      <c r="A11" s="0" t="s">
        <v>18</v>
      </c>
      <c r="B11" s="0" t="s">
        <v>230</v>
      </c>
      <c r="C11" s="0" t="s">
        <v>182</v>
      </c>
      <c r="D11" s="0" t="n">
        <v>700</v>
      </c>
      <c r="E11" s="6" t="n">
        <v>0.998571428571429</v>
      </c>
      <c r="F11" s="6" t="n">
        <v>0.991952621292185</v>
      </c>
      <c r="G11" s="6" t="n">
        <v>0.999747784026285</v>
      </c>
      <c r="H11" s="7" t="n">
        <v>0.29</v>
      </c>
      <c r="I11" s="7" t="n">
        <v>1.303</v>
      </c>
      <c r="J11" s="6" t="n">
        <v>0.997138769670959</v>
      </c>
    </row>
    <row r="12" customFormat="false" ht="15" hidden="false" customHeight="false" outlineLevel="0" collapsed="false">
      <c r="A12" s="0" t="s">
        <v>18</v>
      </c>
      <c r="B12" s="0" t="s">
        <v>230</v>
      </c>
      <c r="C12" s="0" t="s">
        <v>183</v>
      </c>
      <c r="D12" s="0" t="n">
        <v>700</v>
      </c>
      <c r="E12" s="6" t="n">
        <v>0.997142857142857</v>
      </c>
      <c r="F12" s="6" t="n">
        <v>0.989642722089369</v>
      </c>
      <c r="G12" s="6" t="n">
        <v>0.999216134789793</v>
      </c>
      <c r="H12" s="7" t="n">
        <v>0.9115</v>
      </c>
      <c r="I12" s="7" t="n">
        <v>1.715</v>
      </c>
      <c r="J12" s="6" t="n">
        <v>0.998567335243553</v>
      </c>
    </row>
    <row r="13" customFormat="false" ht="15" hidden="false" customHeight="false" outlineLevel="0" collapsed="false">
      <c r="A13" s="0" t="s">
        <v>18</v>
      </c>
      <c r="B13" s="0" t="s">
        <v>230</v>
      </c>
      <c r="C13" s="0" t="s">
        <v>184</v>
      </c>
      <c r="D13" s="0" t="n">
        <v>2100</v>
      </c>
      <c r="E13" s="6" t="n">
        <v>0.997619047619048</v>
      </c>
      <c r="F13" s="6" t="n">
        <v>0.994438198537809</v>
      </c>
      <c r="G13" s="6" t="n">
        <v>0.998982598921468</v>
      </c>
      <c r="H13" s="7" t="n">
        <v>0.689</v>
      </c>
      <c r="I13" s="7" t="n">
        <v>1.512</v>
      </c>
      <c r="J13" s="6" t="n">
        <v>0.99618138424821</v>
      </c>
    </row>
    <row r="14" customFormat="false" ht="15" hidden="false" customHeight="false" outlineLevel="0" collapsed="false">
      <c r="A14" s="0" t="s">
        <v>18</v>
      </c>
      <c r="B14" s="0" t="s">
        <v>231</v>
      </c>
      <c r="C14" s="0" t="s">
        <v>181</v>
      </c>
      <c r="D14" s="0" t="n">
        <v>700</v>
      </c>
      <c r="E14" s="6" t="n">
        <v>1</v>
      </c>
      <c r="F14" s="6" t="n">
        <v>0.994541953757777</v>
      </c>
      <c r="G14" s="6" t="n">
        <v>1</v>
      </c>
      <c r="H14" s="7" t="n">
        <v>0.508</v>
      </c>
      <c r="I14" s="7" t="n">
        <v>0.734</v>
      </c>
      <c r="J14" s="6" t="n">
        <v>0.992857142857143</v>
      </c>
    </row>
    <row r="15" customFormat="false" ht="15" hidden="false" customHeight="false" outlineLevel="0" collapsed="false">
      <c r="A15" s="0" t="s">
        <v>18</v>
      </c>
      <c r="B15" s="0" t="s">
        <v>231</v>
      </c>
      <c r="C15" s="0" t="s">
        <v>182</v>
      </c>
      <c r="D15" s="0" t="n">
        <v>700</v>
      </c>
      <c r="E15" s="6" t="n">
        <v>1</v>
      </c>
      <c r="F15" s="6" t="n">
        <v>0.994541953757777</v>
      </c>
      <c r="G15" s="6" t="n">
        <v>1</v>
      </c>
      <c r="H15" s="7" t="n">
        <v>0.212</v>
      </c>
      <c r="I15" s="7" t="n">
        <v>0.486</v>
      </c>
      <c r="J15" s="6" t="n">
        <v>0.987142857142857</v>
      </c>
    </row>
    <row r="16" customFormat="false" ht="15" hidden="false" customHeight="false" outlineLevel="0" collapsed="false">
      <c r="A16" s="0" t="s">
        <v>18</v>
      </c>
      <c r="B16" s="0" t="s">
        <v>231</v>
      </c>
      <c r="C16" s="0" t="s">
        <v>183</v>
      </c>
      <c r="D16" s="0" t="n">
        <v>700</v>
      </c>
      <c r="E16" s="6" t="n">
        <v>0.998571428571429</v>
      </c>
      <c r="F16" s="6" t="n">
        <v>0.991952621292185</v>
      </c>
      <c r="G16" s="6" t="n">
        <v>0.999747784026285</v>
      </c>
      <c r="H16" s="7" t="n">
        <v>0.87</v>
      </c>
      <c r="I16" s="7" t="n">
        <v>1.088</v>
      </c>
      <c r="J16" s="6" t="n">
        <v>0.988555078683834</v>
      </c>
    </row>
    <row r="17" customFormat="false" ht="15" hidden="false" customHeight="false" outlineLevel="0" collapsed="false">
      <c r="A17" s="0" t="s">
        <v>18</v>
      </c>
      <c r="B17" s="0" t="s">
        <v>231</v>
      </c>
      <c r="C17" s="0" t="s">
        <v>184</v>
      </c>
      <c r="D17" s="0" t="n">
        <v>2100</v>
      </c>
      <c r="E17" s="6" t="n">
        <v>0.99952380952381</v>
      </c>
      <c r="F17" s="6" t="n">
        <v>0.997307427200723</v>
      </c>
      <c r="G17" s="6" t="n">
        <v>0.999915937904331</v>
      </c>
      <c r="H17" s="7" t="n">
        <v>0.521</v>
      </c>
      <c r="I17" s="7" t="n">
        <v>0.943</v>
      </c>
      <c r="J17" s="6" t="n">
        <v>0.989518818484993</v>
      </c>
    </row>
    <row r="18" customFormat="false" ht="15" hidden="false" customHeight="false" outlineLevel="0" collapsed="false">
      <c r="A18" s="0" t="s">
        <v>18</v>
      </c>
      <c r="B18" s="0" t="s">
        <v>232</v>
      </c>
      <c r="C18" s="0" t="s">
        <v>181</v>
      </c>
      <c r="D18" s="0" t="n">
        <v>700</v>
      </c>
      <c r="E18" s="6" t="n">
        <v>1</v>
      </c>
      <c r="F18" s="6" t="n">
        <v>0.994541953757777</v>
      </c>
      <c r="G18" s="6" t="n">
        <v>1</v>
      </c>
      <c r="H18" s="7" t="n">
        <v>0.561</v>
      </c>
      <c r="I18" s="7" t="n">
        <v>0.777</v>
      </c>
      <c r="J18" s="6" t="n">
        <v>1</v>
      </c>
    </row>
    <row r="19" customFormat="false" ht="15" hidden="false" customHeight="false" outlineLevel="0" collapsed="false">
      <c r="A19" s="0" t="s">
        <v>18</v>
      </c>
      <c r="B19" s="0" t="s">
        <v>232</v>
      </c>
      <c r="C19" s="0" t="s">
        <v>182</v>
      </c>
      <c r="D19" s="0" t="n">
        <v>700</v>
      </c>
      <c r="E19" s="6" t="n">
        <v>1</v>
      </c>
      <c r="F19" s="6" t="n">
        <v>0.994541953757777</v>
      </c>
      <c r="G19" s="6" t="n">
        <v>1</v>
      </c>
      <c r="H19" s="7" t="n">
        <v>0.2785</v>
      </c>
      <c r="I19" s="7" t="n">
        <v>0.464</v>
      </c>
      <c r="J19" s="6" t="n">
        <v>0.998571428571429</v>
      </c>
    </row>
    <row r="20" customFormat="false" ht="15" hidden="false" customHeight="false" outlineLevel="0" collapsed="false">
      <c r="A20" s="0" t="s">
        <v>18</v>
      </c>
      <c r="B20" s="0" t="s">
        <v>232</v>
      </c>
      <c r="C20" s="0" t="s">
        <v>183</v>
      </c>
      <c r="D20" s="0" t="n">
        <v>700</v>
      </c>
      <c r="E20" s="6" t="n">
        <v>1</v>
      </c>
      <c r="F20" s="6" t="n">
        <v>0.994541953757777</v>
      </c>
      <c r="G20" s="6" t="n">
        <v>1</v>
      </c>
      <c r="H20" s="7" t="n">
        <v>0.924</v>
      </c>
      <c r="I20" s="7" t="n">
        <v>1.101</v>
      </c>
      <c r="J20" s="6" t="n">
        <v>1</v>
      </c>
    </row>
    <row r="21" customFormat="false" ht="15" hidden="false" customHeight="false" outlineLevel="0" collapsed="false">
      <c r="A21" s="0" t="s">
        <v>18</v>
      </c>
      <c r="B21" s="0" t="s">
        <v>232</v>
      </c>
      <c r="C21" s="0" t="s">
        <v>184</v>
      </c>
      <c r="D21" s="0" t="n">
        <v>2100</v>
      </c>
      <c r="E21" s="6" t="n">
        <v>1</v>
      </c>
      <c r="F21" s="6" t="n">
        <v>0.998174007016498</v>
      </c>
      <c r="G21" s="6" t="n">
        <v>1</v>
      </c>
      <c r="H21" s="7" t="n">
        <v>0.5695</v>
      </c>
      <c r="I21" s="7" t="n">
        <v>0.98</v>
      </c>
      <c r="J21" s="6" t="n">
        <v>0.99952380952381</v>
      </c>
    </row>
    <row r="22" customFormat="false" ht="15" hidden="false" customHeight="false" outlineLevel="0" collapsed="false">
      <c r="A22" s="0" t="s">
        <v>18</v>
      </c>
      <c r="B22" s="0" t="s">
        <v>233</v>
      </c>
      <c r="C22" s="0" t="s">
        <v>181</v>
      </c>
      <c r="D22" s="0" t="n">
        <v>700</v>
      </c>
      <c r="E22" s="6" t="n">
        <v>0.998571428571429</v>
      </c>
      <c r="F22" s="6" t="n">
        <v>0.991952621292185</v>
      </c>
      <c r="G22" s="6" t="n">
        <v>0.999747784026285</v>
      </c>
      <c r="H22" s="7" t="n">
        <v>0.635</v>
      </c>
      <c r="I22" s="7" t="n">
        <v>1.27</v>
      </c>
      <c r="J22" s="6" t="n">
        <v>1</v>
      </c>
    </row>
    <row r="23" customFormat="false" ht="15" hidden="false" customHeight="false" outlineLevel="0" collapsed="false">
      <c r="A23" s="0" t="s">
        <v>18</v>
      </c>
      <c r="B23" s="0" t="s">
        <v>233</v>
      </c>
      <c r="C23" s="0" t="s">
        <v>182</v>
      </c>
      <c r="D23" s="0" t="n">
        <v>700</v>
      </c>
      <c r="E23" s="6" t="n">
        <v>0.998571428571429</v>
      </c>
      <c r="F23" s="6" t="n">
        <v>0.991952621292185</v>
      </c>
      <c r="G23" s="6" t="n">
        <v>0.999747784026285</v>
      </c>
      <c r="H23" s="7" t="n">
        <v>1.018</v>
      </c>
      <c r="I23" s="7" t="n">
        <v>1.614</v>
      </c>
      <c r="J23" s="6" t="n">
        <v>1</v>
      </c>
    </row>
    <row r="24" customFormat="false" ht="15" hidden="false" customHeight="false" outlineLevel="0" collapsed="false">
      <c r="A24" s="0" t="s">
        <v>18</v>
      </c>
      <c r="B24" s="0" t="s">
        <v>233</v>
      </c>
      <c r="C24" s="0" t="s">
        <v>183</v>
      </c>
      <c r="D24" s="0" t="n">
        <v>700</v>
      </c>
      <c r="E24" s="6" t="n">
        <v>1</v>
      </c>
      <c r="F24" s="6" t="n">
        <v>0.994541953757777</v>
      </c>
      <c r="G24" s="6" t="n">
        <v>1</v>
      </c>
      <c r="H24" s="7" t="n">
        <v>1.5105</v>
      </c>
      <c r="I24" s="7" t="n">
        <v>2.103</v>
      </c>
      <c r="J24" s="6" t="n">
        <v>0.998571428571429</v>
      </c>
    </row>
    <row r="25" customFormat="false" ht="15" hidden="false" customHeight="false" outlineLevel="0" collapsed="false">
      <c r="A25" s="0" t="s">
        <v>18</v>
      </c>
      <c r="B25" s="0" t="s">
        <v>233</v>
      </c>
      <c r="C25" s="0" t="s">
        <v>184</v>
      </c>
      <c r="D25" s="0" t="n">
        <v>2100</v>
      </c>
      <c r="E25" s="6" t="n">
        <v>0.999047619047619</v>
      </c>
      <c r="F25" s="6" t="n">
        <v>0.996533933798472</v>
      </c>
      <c r="G25" s="6" t="n">
        <v>0.999738789395138</v>
      </c>
      <c r="H25" s="7" t="n">
        <v>1.139</v>
      </c>
      <c r="I25" s="7" t="n">
        <v>1.885</v>
      </c>
      <c r="J25" s="6" t="n">
        <v>0.99952335557674</v>
      </c>
    </row>
    <row r="26" customFormat="false" ht="15" hidden="false" customHeight="false" outlineLevel="0" collapsed="false">
      <c r="A26" s="0" t="s">
        <v>18</v>
      </c>
      <c r="B26" s="0" t="s">
        <v>234</v>
      </c>
      <c r="C26" s="0" t="s">
        <v>181</v>
      </c>
      <c r="D26" s="0" t="n">
        <v>700</v>
      </c>
      <c r="E26" s="6" t="n">
        <v>0.991428571428571</v>
      </c>
      <c r="F26" s="6" t="n">
        <v>0.981426723313498</v>
      </c>
      <c r="G26" s="6" t="n">
        <v>0.996065939808432</v>
      </c>
      <c r="H26" s="7" t="n">
        <v>2.558</v>
      </c>
      <c r="I26" s="7" t="n">
        <v>3.884</v>
      </c>
      <c r="J26" s="6" t="n">
        <v>0.971181556195966</v>
      </c>
    </row>
    <row r="27" customFormat="false" ht="15" hidden="false" customHeight="false" outlineLevel="0" collapsed="false">
      <c r="A27" s="0" t="s">
        <v>18</v>
      </c>
      <c r="B27" s="0" t="s">
        <v>234</v>
      </c>
      <c r="C27" s="0" t="s">
        <v>182</v>
      </c>
      <c r="D27" s="0" t="n">
        <v>700</v>
      </c>
      <c r="E27" s="6" t="n">
        <v>0.992857142857143</v>
      </c>
      <c r="F27" s="6" t="n">
        <v>0.983388914848421</v>
      </c>
      <c r="G27" s="6" t="n">
        <v>0.996945296712817</v>
      </c>
      <c r="H27" s="7" t="n">
        <v>2.467</v>
      </c>
      <c r="I27" s="7" t="n">
        <v>3.73</v>
      </c>
      <c r="J27" s="6" t="n">
        <v>0.975539568345324</v>
      </c>
    </row>
    <row r="28" customFormat="false" ht="15" hidden="false" customHeight="false" outlineLevel="0" collapsed="false">
      <c r="A28" s="0" t="s">
        <v>18</v>
      </c>
      <c r="B28" s="0" t="s">
        <v>234</v>
      </c>
      <c r="C28" s="0" t="s">
        <v>183</v>
      </c>
      <c r="D28" s="0" t="n">
        <v>700</v>
      </c>
      <c r="E28" s="6" t="n">
        <v>0.997142857142857</v>
      </c>
      <c r="F28" s="6" t="n">
        <v>0.989642722089369</v>
      </c>
      <c r="G28" s="6" t="n">
        <v>0.999216134789793</v>
      </c>
      <c r="H28" s="7" t="n">
        <v>2.186</v>
      </c>
      <c r="I28" s="7" t="n">
        <v>3.202</v>
      </c>
      <c r="J28" s="6" t="n">
        <v>0.982808022922636</v>
      </c>
    </row>
    <row r="29" customFormat="false" ht="15" hidden="false" customHeight="false" outlineLevel="0" collapsed="false">
      <c r="A29" s="0" t="s">
        <v>18</v>
      </c>
      <c r="B29" s="0" t="s">
        <v>234</v>
      </c>
      <c r="C29" s="0" t="s">
        <v>184</v>
      </c>
      <c r="D29" s="0" t="n">
        <v>2100</v>
      </c>
      <c r="E29" s="6" t="n">
        <v>0.993809523809524</v>
      </c>
      <c r="F29" s="6" t="n">
        <v>0.98943697525784</v>
      </c>
      <c r="G29" s="6" t="n">
        <v>0.996378686909883</v>
      </c>
      <c r="H29" s="7" t="n">
        <v>2.406</v>
      </c>
      <c r="I29" s="7" t="n">
        <v>3.655</v>
      </c>
      <c r="J29" s="6" t="n">
        <v>0.976521322472449</v>
      </c>
    </row>
    <row r="30" customFormat="false" ht="15" hidden="false" customHeight="false" outlineLevel="0" collapsed="false">
      <c r="A30" s="0" t="s">
        <v>18</v>
      </c>
      <c r="B30" s="0" t="s">
        <v>235</v>
      </c>
      <c r="C30" s="0" t="s">
        <v>181</v>
      </c>
      <c r="D30" s="0" t="n">
        <v>700</v>
      </c>
      <c r="E30" s="6" t="n">
        <v>1</v>
      </c>
      <c r="F30" s="6" t="n">
        <v>0.994541953757777</v>
      </c>
      <c r="G30" s="6" t="n">
        <v>1</v>
      </c>
      <c r="H30" s="7" t="n">
        <v>0.6345</v>
      </c>
      <c r="I30" s="7" t="n">
        <v>1.775</v>
      </c>
      <c r="J30" s="6" t="n">
        <v>0.961428571428571</v>
      </c>
    </row>
    <row r="31" customFormat="false" ht="15" hidden="false" customHeight="false" outlineLevel="0" collapsed="false">
      <c r="A31" s="0" t="s">
        <v>18</v>
      </c>
      <c r="B31" s="0" t="s">
        <v>235</v>
      </c>
      <c r="C31" s="0" t="s">
        <v>182</v>
      </c>
      <c r="D31" s="0" t="n">
        <v>700</v>
      </c>
      <c r="E31" s="6" t="n">
        <v>1</v>
      </c>
      <c r="F31" s="6" t="n">
        <v>0.994541953757777</v>
      </c>
      <c r="G31" s="6" t="n">
        <v>1</v>
      </c>
      <c r="H31" s="7" t="n">
        <v>0.361</v>
      </c>
      <c r="I31" s="7" t="n">
        <v>1.472</v>
      </c>
      <c r="J31" s="6" t="n">
        <v>0.968571428571429</v>
      </c>
    </row>
    <row r="32" customFormat="false" ht="15" hidden="false" customHeight="false" outlineLevel="0" collapsed="false">
      <c r="A32" s="0" t="s">
        <v>18</v>
      </c>
      <c r="B32" s="0" t="s">
        <v>235</v>
      </c>
      <c r="C32" s="0" t="s">
        <v>183</v>
      </c>
      <c r="D32" s="0" t="n">
        <v>700</v>
      </c>
      <c r="E32" s="6" t="n">
        <v>0.998571428571429</v>
      </c>
      <c r="F32" s="6" t="n">
        <v>0.991952621292185</v>
      </c>
      <c r="G32" s="6" t="n">
        <v>0.999747784026285</v>
      </c>
      <c r="H32" s="7" t="n">
        <v>0.971</v>
      </c>
      <c r="I32" s="7" t="n">
        <v>1.975</v>
      </c>
      <c r="J32" s="6" t="n">
        <v>0.954220314735336</v>
      </c>
    </row>
    <row r="33" customFormat="false" ht="15" hidden="false" customHeight="false" outlineLevel="0" collapsed="false">
      <c r="A33" s="0" t="s">
        <v>18</v>
      </c>
      <c r="B33" s="0" t="s">
        <v>235</v>
      </c>
      <c r="C33" s="0" t="s">
        <v>184</v>
      </c>
      <c r="D33" s="0" t="n">
        <v>2100</v>
      </c>
      <c r="E33" s="6" t="n">
        <v>0.99952380952381</v>
      </c>
      <c r="F33" s="6" t="n">
        <v>0.997307427200723</v>
      </c>
      <c r="G33" s="6" t="n">
        <v>0.999915937904331</v>
      </c>
      <c r="H33" s="7" t="n">
        <v>0.778</v>
      </c>
      <c r="I33" s="7" t="n">
        <v>1.83</v>
      </c>
      <c r="J33" s="6" t="n">
        <v>0.96141019533111</v>
      </c>
    </row>
    <row r="34" customFormat="false" ht="15" hidden="false" customHeight="false" outlineLevel="0" collapsed="false">
      <c r="A34" s="0" t="s">
        <v>18</v>
      </c>
      <c r="B34" s="0" t="s">
        <v>236</v>
      </c>
      <c r="C34" s="0" t="s">
        <v>181</v>
      </c>
      <c r="D34" s="0" t="n">
        <v>700</v>
      </c>
      <c r="E34" s="6" t="n">
        <v>0.997142857142857</v>
      </c>
      <c r="F34" s="6" t="n">
        <v>0.989642722089369</v>
      </c>
      <c r="G34" s="6" t="n">
        <v>0.999216134789793</v>
      </c>
      <c r="H34" s="7" t="n">
        <v>0.6225</v>
      </c>
      <c r="I34" s="7" t="n">
        <v>1.375</v>
      </c>
      <c r="J34" s="6" t="n">
        <v>0.965616045845272</v>
      </c>
    </row>
    <row r="35" customFormat="false" ht="15" hidden="false" customHeight="false" outlineLevel="0" collapsed="false">
      <c r="A35" s="0" t="s">
        <v>18</v>
      </c>
      <c r="B35" s="0" t="s">
        <v>236</v>
      </c>
      <c r="C35" s="0" t="s">
        <v>182</v>
      </c>
      <c r="D35" s="0" t="n">
        <v>700</v>
      </c>
      <c r="E35" s="6" t="n">
        <v>0.998571428571429</v>
      </c>
      <c r="F35" s="6" t="n">
        <v>0.991952621292185</v>
      </c>
      <c r="G35" s="6" t="n">
        <v>0.999747784026285</v>
      </c>
      <c r="H35" s="7" t="n">
        <v>0.356</v>
      </c>
      <c r="I35" s="7" t="n">
        <v>1.346</v>
      </c>
      <c r="J35" s="6" t="n">
        <v>0.971387696709585</v>
      </c>
    </row>
    <row r="36" customFormat="false" ht="15" hidden="false" customHeight="false" outlineLevel="0" collapsed="false">
      <c r="A36" s="0" t="s">
        <v>18</v>
      </c>
      <c r="B36" s="0" t="s">
        <v>236</v>
      </c>
      <c r="C36" s="0" t="s">
        <v>183</v>
      </c>
      <c r="D36" s="0" t="n">
        <v>700</v>
      </c>
      <c r="E36" s="6" t="n">
        <v>1</v>
      </c>
      <c r="F36" s="6" t="n">
        <v>0.994541953757777</v>
      </c>
      <c r="G36" s="6" t="n">
        <v>1</v>
      </c>
      <c r="H36" s="7" t="n">
        <v>0.944</v>
      </c>
      <c r="I36" s="7" t="n">
        <v>1.679</v>
      </c>
      <c r="J36" s="6" t="n">
        <v>0.968571428571429</v>
      </c>
    </row>
    <row r="37" customFormat="false" ht="15" hidden="false" customHeight="false" outlineLevel="0" collapsed="false">
      <c r="A37" s="0" t="s">
        <v>18</v>
      </c>
      <c r="B37" s="0" t="s">
        <v>236</v>
      </c>
      <c r="C37" s="0" t="s">
        <v>184</v>
      </c>
      <c r="D37" s="0" t="n">
        <v>2100</v>
      </c>
      <c r="E37" s="6" t="n">
        <v>0.998571428571429</v>
      </c>
      <c r="F37" s="6" t="n">
        <v>0.995808031986912</v>
      </c>
      <c r="G37" s="6" t="n">
        <v>0.999514049295253</v>
      </c>
      <c r="H37" s="7" t="n">
        <v>0.723</v>
      </c>
      <c r="I37" s="7" t="n">
        <v>1.502</v>
      </c>
      <c r="J37" s="6" t="n">
        <v>0.968526466380544</v>
      </c>
    </row>
    <row r="38" customFormat="false" ht="15" hidden="false" customHeight="false" outlineLevel="0" collapsed="false">
      <c r="A38" s="0" t="s">
        <v>18</v>
      </c>
      <c r="B38" s="0" t="s">
        <v>237</v>
      </c>
      <c r="C38" s="0" t="s">
        <v>181</v>
      </c>
      <c r="D38" s="0" t="n">
        <v>700</v>
      </c>
      <c r="E38" s="6" t="n">
        <v>0.992857142857143</v>
      </c>
      <c r="F38" s="6" t="n">
        <v>0.983388914848421</v>
      </c>
      <c r="G38" s="6" t="n">
        <v>0.996945296712817</v>
      </c>
      <c r="H38" s="7" t="n">
        <v>1.569</v>
      </c>
      <c r="I38" s="7" t="n">
        <v>2.222</v>
      </c>
      <c r="J38" s="6" t="n">
        <v>0.99136690647482</v>
      </c>
    </row>
    <row r="39" customFormat="false" ht="15" hidden="false" customHeight="false" outlineLevel="0" collapsed="false">
      <c r="A39" s="0" t="s">
        <v>18</v>
      </c>
      <c r="B39" s="0" t="s">
        <v>237</v>
      </c>
      <c r="C39" s="0" t="s">
        <v>182</v>
      </c>
      <c r="D39" s="0" t="n">
        <v>700</v>
      </c>
      <c r="E39" s="6" t="n">
        <v>0.99</v>
      </c>
      <c r="F39" s="6" t="n">
        <v>0.979503326116614</v>
      </c>
      <c r="G39" s="6" t="n">
        <v>0.995147788566008</v>
      </c>
      <c r="H39" s="7" t="n">
        <v>1.416</v>
      </c>
      <c r="I39" s="7" t="n">
        <v>1.976</v>
      </c>
      <c r="J39" s="6" t="n">
        <v>0.994227994227994</v>
      </c>
    </row>
    <row r="40" customFormat="false" ht="15" hidden="false" customHeight="false" outlineLevel="0" collapsed="false">
      <c r="A40" s="0" t="s">
        <v>18</v>
      </c>
      <c r="B40" s="0" t="s">
        <v>237</v>
      </c>
      <c r="C40" s="0" t="s">
        <v>183</v>
      </c>
      <c r="D40" s="0" t="n">
        <v>700</v>
      </c>
      <c r="E40" s="6" t="n">
        <v>0.982857142857143</v>
      </c>
      <c r="F40" s="6" t="n">
        <v>0.970276429016035</v>
      </c>
      <c r="G40" s="6" t="n">
        <v>0.990166943470048</v>
      </c>
      <c r="H40" s="7" t="n">
        <v>1.794</v>
      </c>
      <c r="I40" s="7" t="n">
        <v>2.476</v>
      </c>
      <c r="J40" s="6" t="n">
        <v>0.989825581395349</v>
      </c>
    </row>
    <row r="41" customFormat="false" ht="15" hidden="false" customHeight="false" outlineLevel="0" collapsed="false">
      <c r="A41" s="0" t="s">
        <v>18</v>
      </c>
      <c r="B41" s="0" t="s">
        <v>237</v>
      </c>
      <c r="C41" s="0" t="s">
        <v>184</v>
      </c>
      <c r="D41" s="0" t="n">
        <v>2100</v>
      </c>
      <c r="E41" s="6" t="n">
        <v>0.988571428571429</v>
      </c>
      <c r="F41" s="6" t="n">
        <v>0.983050490079379</v>
      </c>
      <c r="G41" s="6" t="n">
        <v>0.992308111062456</v>
      </c>
      <c r="H41" s="7" t="n">
        <v>1.574</v>
      </c>
      <c r="I41" s="7" t="n">
        <v>2.295</v>
      </c>
      <c r="J41" s="6" t="n">
        <v>0.991811175337187</v>
      </c>
    </row>
    <row r="42" customFormat="false" ht="15" hidden="false" customHeight="false" outlineLevel="0" collapsed="false">
      <c r="A42" s="0" t="s">
        <v>18</v>
      </c>
      <c r="B42" s="0" t="s">
        <v>238</v>
      </c>
      <c r="C42" s="0" t="s">
        <v>181</v>
      </c>
      <c r="D42" s="0" t="n">
        <v>700</v>
      </c>
      <c r="E42" s="6" t="n">
        <v>0.998571428571429</v>
      </c>
      <c r="F42" s="6" t="n">
        <v>0.991952621292185</v>
      </c>
      <c r="G42" s="6" t="n">
        <v>0.999747784026285</v>
      </c>
      <c r="H42" s="7" t="n">
        <v>1.159</v>
      </c>
      <c r="I42" s="7" t="n">
        <v>1.41</v>
      </c>
      <c r="J42" s="6" t="n">
        <v>0.998569384835479</v>
      </c>
    </row>
    <row r="43" customFormat="false" ht="15" hidden="false" customHeight="false" outlineLevel="0" collapsed="false">
      <c r="A43" s="0" t="s">
        <v>18</v>
      </c>
      <c r="B43" s="0" t="s">
        <v>238</v>
      </c>
      <c r="C43" s="0" t="s">
        <v>182</v>
      </c>
      <c r="D43" s="0" t="n">
        <v>700</v>
      </c>
      <c r="E43" s="6" t="n">
        <v>0.998571428571429</v>
      </c>
      <c r="F43" s="6" t="n">
        <v>0.991952621292185</v>
      </c>
      <c r="G43" s="6" t="n">
        <v>0.999747784026285</v>
      </c>
      <c r="H43" s="7" t="n">
        <v>0.973</v>
      </c>
      <c r="I43" s="7" t="n">
        <v>1.253</v>
      </c>
      <c r="J43" s="6" t="n">
        <v>1</v>
      </c>
    </row>
    <row r="44" customFormat="false" ht="15" hidden="false" customHeight="false" outlineLevel="0" collapsed="false">
      <c r="A44" s="0" t="s">
        <v>18</v>
      </c>
      <c r="B44" s="0" t="s">
        <v>238</v>
      </c>
      <c r="C44" s="0" t="s">
        <v>183</v>
      </c>
      <c r="D44" s="0" t="n">
        <v>700</v>
      </c>
      <c r="E44" s="6" t="n">
        <v>0.998571428571429</v>
      </c>
      <c r="F44" s="6" t="n">
        <v>0.991952621292185</v>
      </c>
      <c r="G44" s="6" t="n">
        <v>0.999747784026285</v>
      </c>
      <c r="H44" s="7" t="n">
        <v>0.427</v>
      </c>
      <c r="I44" s="7" t="n">
        <v>0.695</v>
      </c>
      <c r="J44" s="6" t="n">
        <v>1</v>
      </c>
    </row>
    <row r="45" customFormat="false" ht="15" hidden="false" customHeight="false" outlineLevel="0" collapsed="false">
      <c r="A45" s="0" t="s">
        <v>18</v>
      </c>
      <c r="B45" s="0" t="s">
        <v>238</v>
      </c>
      <c r="C45" s="0" t="s">
        <v>184</v>
      </c>
      <c r="D45" s="0" t="n">
        <v>2100</v>
      </c>
      <c r="E45" s="6" t="n">
        <v>0.998571428571429</v>
      </c>
      <c r="F45" s="6" t="n">
        <v>0.995808031986912</v>
      </c>
      <c r="G45" s="6" t="n">
        <v>0.999514049295253</v>
      </c>
      <c r="H45" s="7" t="n">
        <v>0.987</v>
      </c>
      <c r="I45" s="7" t="n">
        <v>1.289</v>
      </c>
      <c r="J45" s="6" t="n">
        <v>0.999523128278493</v>
      </c>
    </row>
    <row r="46" customFormat="false" ht="15" hidden="false" customHeight="false" outlineLevel="0" collapsed="false">
      <c r="A46" s="0" t="s">
        <v>18</v>
      </c>
      <c r="B46" s="0" t="s">
        <v>239</v>
      </c>
      <c r="C46" s="0" t="s">
        <v>181</v>
      </c>
      <c r="D46" s="0" t="n">
        <v>700</v>
      </c>
      <c r="E46" s="6" t="n">
        <v>0.995714285714286</v>
      </c>
      <c r="F46" s="6" t="n">
        <v>0.987475859383073</v>
      </c>
      <c r="G46" s="6" t="n">
        <v>0.99854144905678</v>
      </c>
      <c r="H46" s="7" t="n">
        <v>1.078</v>
      </c>
      <c r="I46" s="7" t="n">
        <v>2.274</v>
      </c>
      <c r="J46" s="6" t="n">
        <v>0.991391678622669</v>
      </c>
    </row>
    <row r="47" customFormat="false" ht="15" hidden="false" customHeight="false" outlineLevel="0" collapsed="false">
      <c r="A47" s="0" t="s">
        <v>18</v>
      </c>
      <c r="B47" s="0" t="s">
        <v>239</v>
      </c>
      <c r="C47" s="0" t="s">
        <v>182</v>
      </c>
      <c r="D47" s="0" t="n">
        <v>700</v>
      </c>
      <c r="E47" s="6" t="n">
        <v>1</v>
      </c>
      <c r="F47" s="6" t="n">
        <v>0.994541953757777</v>
      </c>
      <c r="G47" s="6" t="n">
        <v>1</v>
      </c>
      <c r="H47" s="7" t="n">
        <v>0.8755</v>
      </c>
      <c r="I47" s="7" t="n">
        <v>2.222</v>
      </c>
      <c r="J47" s="6" t="n">
        <v>0.988571428571429</v>
      </c>
    </row>
    <row r="48" customFormat="false" ht="15" hidden="false" customHeight="false" outlineLevel="0" collapsed="false">
      <c r="A48" s="0" t="s">
        <v>18</v>
      </c>
      <c r="B48" s="0" t="s">
        <v>239</v>
      </c>
      <c r="C48" s="0" t="s">
        <v>183</v>
      </c>
      <c r="D48" s="0" t="n">
        <v>700</v>
      </c>
      <c r="E48" s="6" t="n">
        <v>0.997142857142857</v>
      </c>
      <c r="F48" s="6" t="n">
        <v>0.989642722089369</v>
      </c>
      <c r="G48" s="6" t="n">
        <v>0.999216134789793</v>
      </c>
      <c r="H48" s="7" t="n">
        <v>0.236</v>
      </c>
      <c r="I48" s="7" t="n">
        <v>1.988</v>
      </c>
      <c r="J48" s="6" t="n">
        <v>0.997134670487106</v>
      </c>
    </row>
    <row r="49" customFormat="false" ht="15" hidden="false" customHeight="false" outlineLevel="0" collapsed="false">
      <c r="A49" s="0" t="s">
        <v>18</v>
      </c>
      <c r="B49" s="0" t="s">
        <v>239</v>
      </c>
      <c r="C49" s="0" t="s">
        <v>184</v>
      </c>
      <c r="D49" s="0" t="n">
        <v>2100</v>
      </c>
      <c r="E49" s="6" t="n">
        <v>0.997619047619048</v>
      </c>
      <c r="F49" s="6" t="n">
        <v>0.994438198537809</v>
      </c>
      <c r="G49" s="6" t="n">
        <v>0.998982598921468</v>
      </c>
      <c r="H49" s="7" t="n">
        <v>0.961</v>
      </c>
      <c r="I49" s="7" t="n">
        <v>2.157</v>
      </c>
      <c r="J49" s="6" t="n">
        <v>0.99236276849642</v>
      </c>
    </row>
    <row r="50" customFormat="false" ht="15" hidden="false" customHeight="false" outlineLevel="0" collapsed="false">
      <c r="A50" s="0" t="s">
        <v>33</v>
      </c>
      <c r="B50" s="0" t="s">
        <v>228</v>
      </c>
      <c r="C50" s="0" t="s">
        <v>181</v>
      </c>
      <c r="D50" s="0" t="n">
        <v>700</v>
      </c>
      <c r="E50" s="6" t="n">
        <v>0.99</v>
      </c>
      <c r="F50" s="6" t="n">
        <v>0.979503326116614</v>
      </c>
      <c r="G50" s="6" t="n">
        <v>0.995147788566008</v>
      </c>
      <c r="H50" s="7" t="n">
        <v>0.6</v>
      </c>
      <c r="I50" s="7" t="n">
        <v>0.993</v>
      </c>
      <c r="J50" s="6" t="n">
        <v>0.998556998556999</v>
      </c>
    </row>
    <row r="51" customFormat="false" ht="15" hidden="false" customHeight="false" outlineLevel="0" collapsed="false">
      <c r="A51" s="0" t="s">
        <v>33</v>
      </c>
      <c r="B51" s="0" t="s">
        <v>228</v>
      </c>
      <c r="C51" s="0" t="s">
        <v>182</v>
      </c>
      <c r="D51" s="0" t="n">
        <v>700</v>
      </c>
      <c r="E51" s="6" t="n">
        <v>0.985714285714286</v>
      </c>
      <c r="F51" s="6" t="n">
        <v>0.973904289668848</v>
      </c>
      <c r="G51" s="6" t="n">
        <v>0.99222217969585</v>
      </c>
      <c r="H51" s="7" t="n">
        <v>0.8445</v>
      </c>
      <c r="I51" s="7" t="n">
        <v>1.459</v>
      </c>
      <c r="J51" s="6" t="n">
        <v>1</v>
      </c>
    </row>
    <row r="52" customFormat="false" ht="15" hidden="false" customHeight="false" outlineLevel="0" collapsed="false">
      <c r="A52" s="0" t="s">
        <v>33</v>
      </c>
      <c r="B52" s="0" t="s">
        <v>228</v>
      </c>
      <c r="C52" s="0" t="s">
        <v>183</v>
      </c>
      <c r="D52" s="0" t="n">
        <v>700</v>
      </c>
      <c r="E52" s="6" t="n">
        <v>0.981428571428571</v>
      </c>
      <c r="F52" s="6" t="n">
        <v>0.968486560814195</v>
      </c>
      <c r="G52" s="6" t="n">
        <v>0.98911526323258</v>
      </c>
      <c r="H52" s="7" t="n">
        <v>1.03</v>
      </c>
      <c r="I52" s="7" t="n">
        <v>1.808</v>
      </c>
      <c r="J52" s="6" t="n">
        <v>0.994177583697234</v>
      </c>
    </row>
    <row r="53" customFormat="false" ht="15" hidden="false" customHeight="false" outlineLevel="0" collapsed="false">
      <c r="A53" s="0" t="s">
        <v>33</v>
      </c>
      <c r="B53" s="0" t="s">
        <v>228</v>
      </c>
      <c r="C53" s="0" t="s">
        <v>184</v>
      </c>
      <c r="D53" s="0" t="n">
        <v>2100</v>
      </c>
      <c r="E53" s="6" t="n">
        <v>0.985714285714286</v>
      </c>
      <c r="F53" s="6" t="n">
        <v>0.979679601208527</v>
      </c>
      <c r="G53" s="6" t="n">
        <v>0.989975148464643</v>
      </c>
      <c r="H53" s="7" t="n">
        <v>0.8755</v>
      </c>
      <c r="I53" s="7" t="n">
        <v>1.432</v>
      </c>
      <c r="J53" s="6" t="n">
        <v>0.997584541062802</v>
      </c>
    </row>
    <row r="54" customFormat="false" ht="15" hidden="false" customHeight="false" outlineLevel="0" collapsed="false">
      <c r="A54" s="0" t="s">
        <v>33</v>
      </c>
      <c r="B54" s="0" t="s">
        <v>229</v>
      </c>
      <c r="C54" s="0" t="s">
        <v>181</v>
      </c>
      <c r="D54" s="0" t="n">
        <v>700</v>
      </c>
      <c r="E54" s="6" t="n">
        <v>0.988571428571429</v>
      </c>
      <c r="F54" s="6" t="n">
        <v>0.977611666601191</v>
      </c>
      <c r="G54" s="6" t="n">
        <v>0.994197899642123</v>
      </c>
      <c r="H54" s="7" t="n">
        <v>1.022</v>
      </c>
      <c r="I54" s="7" t="n">
        <v>1.617</v>
      </c>
      <c r="J54" s="6" t="n">
        <v>0.998554913294798</v>
      </c>
    </row>
    <row r="55" customFormat="false" ht="15" hidden="false" customHeight="false" outlineLevel="0" collapsed="false">
      <c r="A55" s="0" t="s">
        <v>33</v>
      </c>
      <c r="B55" s="0" t="s">
        <v>229</v>
      </c>
      <c r="C55" s="0" t="s">
        <v>182</v>
      </c>
      <c r="D55" s="0" t="n">
        <v>700</v>
      </c>
      <c r="E55" s="6" t="n">
        <v>0.992857142857143</v>
      </c>
      <c r="F55" s="6" t="n">
        <v>0.983388914848421</v>
      </c>
      <c r="G55" s="6" t="n">
        <v>0.996945296712817</v>
      </c>
      <c r="H55" s="7" t="n">
        <v>0.425</v>
      </c>
      <c r="I55" s="7" t="n">
        <v>1.217</v>
      </c>
      <c r="J55" s="6" t="n">
        <v>0.998561151079137</v>
      </c>
    </row>
    <row r="56" customFormat="false" ht="15" hidden="false" customHeight="false" outlineLevel="0" collapsed="false">
      <c r="A56" s="0" t="s">
        <v>33</v>
      </c>
      <c r="B56" s="0" t="s">
        <v>229</v>
      </c>
      <c r="C56" s="0" t="s">
        <v>183</v>
      </c>
      <c r="D56" s="0" t="n">
        <v>700</v>
      </c>
      <c r="E56" s="6" t="n">
        <v>0.992857142857143</v>
      </c>
      <c r="F56" s="6" t="n">
        <v>0.983388914848421</v>
      </c>
      <c r="G56" s="6" t="n">
        <v>0.996945296712817</v>
      </c>
      <c r="H56" s="7" t="n">
        <v>0.706</v>
      </c>
      <c r="I56" s="7" t="n">
        <v>1.186</v>
      </c>
      <c r="J56" s="6" t="n">
        <v>1</v>
      </c>
    </row>
    <row r="57" customFormat="false" ht="15" hidden="false" customHeight="false" outlineLevel="0" collapsed="false">
      <c r="A57" s="0" t="s">
        <v>33</v>
      </c>
      <c r="B57" s="0" t="s">
        <v>229</v>
      </c>
      <c r="C57" s="0" t="s">
        <v>184</v>
      </c>
      <c r="D57" s="0" t="n">
        <v>2100</v>
      </c>
      <c r="E57" s="6" t="n">
        <v>0.991428571428571</v>
      </c>
      <c r="F57" s="6" t="n">
        <v>0.986491122084587</v>
      </c>
      <c r="G57" s="6" t="n">
        <v>0.994571330525914</v>
      </c>
      <c r="H57" s="7" t="n">
        <v>0.79</v>
      </c>
      <c r="I57" s="7" t="n">
        <v>1.382</v>
      </c>
      <c r="J57" s="6" t="n">
        <v>0.999039385206532</v>
      </c>
    </row>
    <row r="58" customFormat="false" ht="15" hidden="false" customHeight="false" outlineLevel="0" collapsed="false">
      <c r="A58" s="0" t="s">
        <v>33</v>
      </c>
      <c r="B58" s="0" t="s">
        <v>230</v>
      </c>
      <c r="C58" s="0" t="s">
        <v>181</v>
      </c>
      <c r="D58" s="0" t="n">
        <v>700</v>
      </c>
      <c r="E58" s="6" t="n">
        <v>0.985714285714286</v>
      </c>
      <c r="F58" s="6" t="n">
        <v>0.973904289668848</v>
      </c>
      <c r="G58" s="6" t="n">
        <v>0.99222217969585</v>
      </c>
      <c r="H58" s="7" t="n">
        <v>0.995</v>
      </c>
      <c r="I58" s="7" t="n">
        <v>1.375</v>
      </c>
      <c r="J58" s="6" t="n">
        <v>1</v>
      </c>
    </row>
    <row r="59" customFormat="false" ht="15" hidden="false" customHeight="false" outlineLevel="0" collapsed="false">
      <c r="A59" s="0" t="s">
        <v>33</v>
      </c>
      <c r="B59" s="0" t="s">
        <v>230</v>
      </c>
      <c r="C59" s="0" t="s">
        <v>182</v>
      </c>
      <c r="D59" s="0" t="n">
        <v>700</v>
      </c>
      <c r="E59" s="6" t="n">
        <v>0.987142857142857</v>
      </c>
      <c r="F59" s="6" t="n">
        <v>0.97574661193468</v>
      </c>
      <c r="G59" s="6" t="n">
        <v>0.993221405869326</v>
      </c>
      <c r="H59" s="7" t="n">
        <v>0.405</v>
      </c>
      <c r="I59" s="7" t="n">
        <v>1.028</v>
      </c>
      <c r="J59" s="6" t="n">
        <v>0.997105643994211</v>
      </c>
    </row>
    <row r="60" customFormat="false" ht="15" hidden="false" customHeight="false" outlineLevel="0" collapsed="false">
      <c r="A60" s="0" t="s">
        <v>33</v>
      </c>
      <c r="B60" s="0" t="s">
        <v>230</v>
      </c>
      <c r="C60" s="0" t="s">
        <v>183</v>
      </c>
      <c r="D60" s="0" t="n">
        <v>700</v>
      </c>
      <c r="E60" s="6" t="n">
        <v>0.991428571428571</v>
      </c>
      <c r="F60" s="6" t="n">
        <v>0.981426723313498</v>
      </c>
      <c r="G60" s="6" t="n">
        <v>0.996065939808432</v>
      </c>
      <c r="H60" s="7" t="n">
        <v>0.6585</v>
      </c>
      <c r="I60" s="7" t="n">
        <v>1.157</v>
      </c>
      <c r="J60" s="6" t="n">
        <v>1</v>
      </c>
    </row>
    <row r="61" customFormat="false" ht="15" hidden="false" customHeight="false" outlineLevel="0" collapsed="false">
      <c r="A61" s="0" t="s">
        <v>33</v>
      </c>
      <c r="B61" s="0" t="s">
        <v>230</v>
      </c>
      <c r="C61" s="0" t="s">
        <v>184</v>
      </c>
      <c r="D61" s="0" t="n">
        <v>2100</v>
      </c>
      <c r="E61" s="6" t="n">
        <v>0.988095238095238</v>
      </c>
      <c r="F61" s="6" t="n">
        <v>0.982484491556843</v>
      </c>
      <c r="G61" s="6" t="n">
        <v>0.991923467673548</v>
      </c>
      <c r="H61" s="7" t="n">
        <v>0.727</v>
      </c>
      <c r="I61" s="7" t="n">
        <v>1.257</v>
      </c>
      <c r="J61" s="6" t="n">
        <v>0.999036144578313</v>
      </c>
    </row>
    <row r="62" customFormat="false" ht="15" hidden="false" customHeight="false" outlineLevel="0" collapsed="false">
      <c r="A62" s="0" t="s">
        <v>33</v>
      </c>
      <c r="B62" s="0" t="s">
        <v>231</v>
      </c>
      <c r="C62" s="0" t="s">
        <v>181</v>
      </c>
      <c r="D62" s="0" t="n">
        <v>700</v>
      </c>
      <c r="E62" s="6" t="n">
        <v>0.992857142857143</v>
      </c>
      <c r="F62" s="6" t="n">
        <v>0.983388914848421</v>
      </c>
      <c r="G62" s="6" t="n">
        <v>0.996945296712817</v>
      </c>
      <c r="H62" s="7" t="n">
        <v>0.981</v>
      </c>
      <c r="I62" s="7" t="n">
        <v>1.492</v>
      </c>
      <c r="J62" s="6" t="n">
        <v>0.998561151079137</v>
      </c>
    </row>
    <row r="63" customFormat="false" ht="15" hidden="false" customHeight="false" outlineLevel="0" collapsed="false">
      <c r="A63" s="0" t="s">
        <v>33</v>
      </c>
      <c r="B63" s="0" t="s">
        <v>231</v>
      </c>
      <c r="C63" s="0" t="s">
        <v>182</v>
      </c>
      <c r="D63" s="0" t="n">
        <v>700</v>
      </c>
      <c r="E63" s="6" t="n">
        <v>0.992857142857143</v>
      </c>
      <c r="F63" s="6" t="n">
        <v>0.983388914848421</v>
      </c>
      <c r="G63" s="6" t="n">
        <v>0.996945296712817</v>
      </c>
      <c r="H63" s="7" t="n">
        <v>0.382</v>
      </c>
      <c r="I63" s="7" t="n">
        <v>0.897</v>
      </c>
      <c r="J63" s="6" t="n">
        <v>1</v>
      </c>
    </row>
    <row r="64" customFormat="false" ht="15" hidden="false" customHeight="false" outlineLevel="0" collapsed="false">
      <c r="A64" s="0" t="s">
        <v>33</v>
      </c>
      <c r="B64" s="0" t="s">
        <v>231</v>
      </c>
      <c r="C64" s="0" t="s">
        <v>183</v>
      </c>
      <c r="D64" s="0" t="n">
        <v>700</v>
      </c>
      <c r="E64" s="6" t="n">
        <v>0.984285714285714</v>
      </c>
      <c r="F64" s="6" t="n">
        <v>0.97208169241775</v>
      </c>
      <c r="G64" s="6" t="n">
        <v>0.99120322850764</v>
      </c>
      <c r="H64" s="7" t="n">
        <v>0.665</v>
      </c>
      <c r="I64" s="7" t="n">
        <v>1.398</v>
      </c>
      <c r="J64" s="6" t="n">
        <v>0.997097242380261</v>
      </c>
    </row>
    <row r="65" customFormat="false" ht="15" hidden="false" customHeight="false" outlineLevel="0" collapsed="false">
      <c r="A65" s="0" t="s">
        <v>33</v>
      </c>
      <c r="B65" s="0" t="s">
        <v>231</v>
      </c>
      <c r="C65" s="0" t="s">
        <v>184</v>
      </c>
      <c r="D65" s="0" t="n">
        <v>2100</v>
      </c>
      <c r="E65" s="6" t="n">
        <v>0.99</v>
      </c>
      <c r="F65" s="6" t="n">
        <v>0.98476039473444</v>
      </c>
      <c r="G65" s="6" t="n">
        <v>0.993450132141728</v>
      </c>
      <c r="H65" s="7" t="n">
        <v>0.728</v>
      </c>
      <c r="I65" s="7" t="n">
        <v>1.352</v>
      </c>
      <c r="J65" s="6" t="n">
        <v>0.998556998556999</v>
      </c>
    </row>
    <row r="66" customFormat="false" ht="15" hidden="false" customHeight="false" outlineLevel="0" collapsed="false">
      <c r="A66" s="0" t="s">
        <v>33</v>
      </c>
      <c r="B66" s="0" t="s">
        <v>232</v>
      </c>
      <c r="C66" s="0" t="s">
        <v>181</v>
      </c>
      <c r="D66" s="0" t="n">
        <v>700</v>
      </c>
      <c r="E66" s="6" t="n">
        <v>0.984285714285714</v>
      </c>
      <c r="F66" s="6" t="n">
        <v>0.97208169241775</v>
      </c>
      <c r="G66" s="6" t="n">
        <v>0.99120322850764</v>
      </c>
      <c r="H66" s="7" t="n">
        <v>1.008</v>
      </c>
      <c r="I66" s="7" t="n">
        <v>1.457</v>
      </c>
      <c r="J66" s="6" t="n">
        <v>1</v>
      </c>
    </row>
    <row r="67" customFormat="false" ht="15" hidden="false" customHeight="false" outlineLevel="0" collapsed="false">
      <c r="A67" s="0" t="s">
        <v>33</v>
      </c>
      <c r="B67" s="0" t="s">
        <v>232</v>
      </c>
      <c r="C67" s="0" t="s">
        <v>182</v>
      </c>
      <c r="D67" s="0" t="n">
        <v>700</v>
      </c>
      <c r="E67" s="6" t="n">
        <v>0.992857142857143</v>
      </c>
      <c r="F67" s="6" t="n">
        <v>0.983388914848421</v>
      </c>
      <c r="G67" s="6" t="n">
        <v>0.996945296712817</v>
      </c>
      <c r="H67" s="7" t="n">
        <v>0.458</v>
      </c>
      <c r="I67" s="7" t="n">
        <v>1.028</v>
      </c>
      <c r="J67" s="6" t="n">
        <v>1</v>
      </c>
    </row>
    <row r="68" customFormat="false" ht="15" hidden="false" customHeight="false" outlineLevel="0" collapsed="false">
      <c r="A68" s="0" t="s">
        <v>33</v>
      </c>
      <c r="B68" s="0" t="s">
        <v>232</v>
      </c>
      <c r="C68" s="0" t="s">
        <v>183</v>
      </c>
      <c r="D68" s="0" t="n">
        <v>700</v>
      </c>
      <c r="E68" s="6" t="n">
        <v>0.994285714285714</v>
      </c>
      <c r="F68" s="6" t="n">
        <v>0.985400075576777</v>
      </c>
      <c r="G68" s="6" t="n">
        <v>0.997775684423769</v>
      </c>
      <c r="H68" s="7" t="n">
        <v>0.711</v>
      </c>
      <c r="I68" s="7" t="n">
        <v>1.191</v>
      </c>
      <c r="J68" s="6" t="n">
        <v>1</v>
      </c>
    </row>
    <row r="69" customFormat="false" ht="15" hidden="false" customHeight="false" outlineLevel="0" collapsed="false">
      <c r="A69" s="0" t="s">
        <v>33</v>
      </c>
      <c r="B69" s="0" t="s">
        <v>232</v>
      </c>
      <c r="C69" s="0" t="s">
        <v>184</v>
      </c>
      <c r="D69" s="0" t="n">
        <v>2100</v>
      </c>
      <c r="E69" s="6" t="n">
        <v>0.990476190476191</v>
      </c>
      <c r="F69" s="6" t="n">
        <v>0.985334775086367</v>
      </c>
      <c r="G69" s="6" t="n">
        <v>0.993826393701246</v>
      </c>
      <c r="H69" s="7" t="n">
        <v>0.7825</v>
      </c>
      <c r="I69" s="7" t="n">
        <v>1.335</v>
      </c>
      <c r="J69" s="6" t="n">
        <v>1</v>
      </c>
    </row>
    <row r="70" customFormat="false" ht="15" hidden="false" customHeight="false" outlineLevel="0" collapsed="false">
      <c r="A70" s="0" t="s">
        <v>33</v>
      </c>
      <c r="B70" s="0" t="s">
        <v>233</v>
      </c>
      <c r="C70" s="0" t="s">
        <v>181</v>
      </c>
      <c r="D70" s="0" t="n">
        <v>700</v>
      </c>
      <c r="E70" s="6" t="n">
        <v>0.992857142857143</v>
      </c>
      <c r="F70" s="6" t="n">
        <v>0.983388914848421</v>
      </c>
      <c r="G70" s="6" t="n">
        <v>0.996945296712817</v>
      </c>
      <c r="H70" s="7" t="n">
        <v>1.589</v>
      </c>
      <c r="I70" s="7" t="n">
        <v>2.164</v>
      </c>
      <c r="J70" s="6" t="n">
        <v>1</v>
      </c>
    </row>
    <row r="71" customFormat="false" ht="15" hidden="false" customHeight="false" outlineLevel="0" collapsed="false">
      <c r="A71" s="0" t="s">
        <v>33</v>
      </c>
      <c r="B71" s="0" t="s">
        <v>233</v>
      </c>
      <c r="C71" s="0" t="s">
        <v>182</v>
      </c>
      <c r="D71" s="0" t="n">
        <v>700</v>
      </c>
      <c r="E71" s="6" t="n">
        <v>0.99</v>
      </c>
      <c r="F71" s="6" t="n">
        <v>0.979503326116614</v>
      </c>
      <c r="G71" s="6" t="n">
        <v>0.995147788566008</v>
      </c>
      <c r="H71" s="7" t="n">
        <v>0.956</v>
      </c>
      <c r="I71" s="7" t="n">
        <v>1.489</v>
      </c>
      <c r="J71" s="6" t="n">
        <v>1</v>
      </c>
    </row>
    <row r="72" customFormat="false" ht="15" hidden="false" customHeight="false" outlineLevel="0" collapsed="false">
      <c r="A72" s="0" t="s">
        <v>33</v>
      </c>
      <c r="B72" s="0" t="s">
        <v>233</v>
      </c>
      <c r="C72" s="0" t="s">
        <v>183</v>
      </c>
      <c r="D72" s="0" t="n">
        <v>700</v>
      </c>
      <c r="E72" s="6" t="n">
        <v>0.984285714285714</v>
      </c>
      <c r="F72" s="6" t="n">
        <v>0.97208169241775</v>
      </c>
      <c r="G72" s="6" t="n">
        <v>0.99120322850764</v>
      </c>
      <c r="H72" s="7" t="n">
        <v>1.234</v>
      </c>
      <c r="I72" s="7" t="n">
        <v>1.763</v>
      </c>
      <c r="J72" s="6" t="n">
        <v>1</v>
      </c>
    </row>
    <row r="73" customFormat="false" ht="15" hidden="false" customHeight="false" outlineLevel="0" collapsed="false">
      <c r="A73" s="0" t="s">
        <v>33</v>
      </c>
      <c r="B73" s="0" t="s">
        <v>233</v>
      </c>
      <c r="C73" s="0" t="s">
        <v>184</v>
      </c>
      <c r="D73" s="0" t="n">
        <v>2100</v>
      </c>
      <c r="E73" s="6" t="n">
        <v>0.989047619047619</v>
      </c>
      <c r="F73" s="6" t="n">
        <v>0.983618391925129</v>
      </c>
      <c r="G73" s="6" t="n">
        <v>0.99269085112815</v>
      </c>
      <c r="H73" s="7" t="n">
        <v>1.244</v>
      </c>
      <c r="I73" s="7" t="n">
        <v>1.914</v>
      </c>
      <c r="J73" s="6" t="n">
        <v>1</v>
      </c>
    </row>
    <row r="74" customFormat="false" ht="15" hidden="false" customHeight="false" outlineLevel="0" collapsed="false">
      <c r="A74" s="0" t="s">
        <v>33</v>
      </c>
      <c r="B74" s="0" t="s">
        <v>234</v>
      </c>
      <c r="C74" s="0" t="s">
        <v>181</v>
      </c>
      <c r="D74" s="0" t="n">
        <v>700</v>
      </c>
      <c r="E74" s="6" t="n">
        <v>0.87</v>
      </c>
      <c r="F74" s="6" t="n">
        <v>0.843052961481534</v>
      </c>
      <c r="G74" s="6" t="n">
        <v>0.892908084299221</v>
      </c>
      <c r="H74" s="7" t="n">
        <v>1.631</v>
      </c>
      <c r="I74" s="7" t="n">
        <v>2.219</v>
      </c>
      <c r="J74" s="6" t="n">
        <v>1</v>
      </c>
    </row>
    <row r="75" customFormat="false" ht="15" hidden="false" customHeight="false" outlineLevel="0" collapsed="false">
      <c r="A75" s="0" t="s">
        <v>33</v>
      </c>
      <c r="B75" s="0" t="s">
        <v>234</v>
      </c>
      <c r="C75" s="0" t="s">
        <v>182</v>
      </c>
      <c r="D75" s="0" t="n">
        <v>700</v>
      </c>
      <c r="E75" s="6" t="n">
        <v>0.845714285714286</v>
      </c>
      <c r="F75" s="6" t="n">
        <v>0.817074132022774</v>
      </c>
      <c r="G75" s="6" t="n">
        <v>0.870580590289746</v>
      </c>
      <c r="H75" s="7" t="n">
        <v>0.949</v>
      </c>
      <c r="I75" s="7" t="n">
        <v>1.788</v>
      </c>
      <c r="J75" s="6" t="n">
        <v>0.998310810810811</v>
      </c>
    </row>
    <row r="76" customFormat="false" ht="15" hidden="false" customHeight="false" outlineLevel="0" collapsed="false">
      <c r="A76" s="0" t="s">
        <v>33</v>
      </c>
      <c r="B76" s="0" t="s">
        <v>234</v>
      </c>
      <c r="C76" s="0" t="s">
        <v>183</v>
      </c>
      <c r="D76" s="0" t="n">
        <v>700</v>
      </c>
      <c r="E76" s="6" t="n">
        <v>0.984285714285714</v>
      </c>
      <c r="F76" s="6" t="n">
        <v>0.97208169241775</v>
      </c>
      <c r="G76" s="6" t="n">
        <v>0.99120322850764</v>
      </c>
      <c r="H76" s="7" t="n">
        <v>0.477</v>
      </c>
      <c r="I76" s="7" t="n">
        <v>1.473</v>
      </c>
      <c r="J76" s="6" t="n">
        <v>0.998548621190131</v>
      </c>
    </row>
    <row r="77" customFormat="false" ht="15" hidden="false" customHeight="false" outlineLevel="0" collapsed="false">
      <c r="A77" s="0" t="s">
        <v>33</v>
      </c>
      <c r="B77" s="0" t="s">
        <v>234</v>
      </c>
      <c r="C77" s="0" t="s">
        <v>184</v>
      </c>
      <c r="D77" s="0" t="n">
        <v>2100</v>
      </c>
      <c r="E77" s="6" t="n">
        <v>0.9</v>
      </c>
      <c r="F77" s="6" t="n">
        <v>0.886429320544308</v>
      </c>
      <c r="G77" s="6" t="n">
        <v>0.912109885068891</v>
      </c>
      <c r="H77" s="7" t="n">
        <v>1.0425</v>
      </c>
      <c r="I77" s="7" t="n">
        <v>2.047</v>
      </c>
      <c r="J77" s="6" t="n">
        <v>0.998941798941799</v>
      </c>
    </row>
    <row r="78" customFormat="false" ht="15" hidden="false" customHeight="false" outlineLevel="0" collapsed="false">
      <c r="A78" s="0" t="s">
        <v>33</v>
      </c>
      <c r="B78" s="0" t="s">
        <v>235</v>
      </c>
      <c r="C78" s="0" t="s">
        <v>181</v>
      </c>
      <c r="D78" s="0" t="n">
        <v>700</v>
      </c>
      <c r="E78" s="6" t="n">
        <v>0.985714285714286</v>
      </c>
      <c r="F78" s="6" t="n">
        <v>0.973904289668848</v>
      </c>
      <c r="G78" s="6" t="n">
        <v>0.99222217969585</v>
      </c>
      <c r="H78" s="7" t="n">
        <v>1.0445</v>
      </c>
      <c r="I78" s="7" t="n">
        <v>1.509</v>
      </c>
      <c r="J78" s="6" t="n">
        <v>1</v>
      </c>
    </row>
    <row r="79" customFormat="false" ht="15" hidden="false" customHeight="false" outlineLevel="0" collapsed="false">
      <c r="A79" s="0" t="s">
        <v>33</v>
      </c>
      <c r="B79" s="0" t="s">
        <v>235</v>
      </c>
      <c r="C79" s="0" t="s">
        <v>182</v>
      </c>
      <c r="D79" s="0" t="n">
        <v>700</v>
      </c>
      <c r="E79" s="6" t="n">
        <v>0.99</v>
      </c>
      <c r="F79" s="6" t="n">
        <v>0.979503326116614</v>
      </c>
      <c r="G79" s="6" t="n">
        <v>0.995147788566008</v>
      </c>
      <c r="H79" s="7" t="n">
        <v>0.461</v>
      </c>
      <c r="I79" s="7" t="n">
        <v>0.995</v>
      </c>
      <c r="J79" s="6" t="n">
        <v>1</v>
      </c>
    </row>
    <row r="80" customFormat="false" ht="15" hidden="false" customHeight="false" outlineLevel="0" collapsed="false">
      <c r="A80" s="0" t="s">
        <v>33</v>
      </c>
      <c r="B80" s="0" t="s">
        <v>235</v>
      </c>
      <c r="C80" s="0" t="s">
        <v>183</v>
      </c>
      <c r="D80" s="0" t="n">
        <v>700</v>
      </c>
      <c r="E80" s="6" t="n">
        <v>0.98</v>
      </c>
      <c r="F80" s="6" t="n">
        <v>0.966710489999096</v>
      </c>
      <c r="G80" s="6" t="n">
        <v>0.98804978560837</v>
      </c>
      <c r="H80" s="7" t="n">
        <v>0.749</v>
      </c>
      <c r="I80" s="7" t="n">
        <v>1.24</v>
      </c>
      <c r="J80" s="6" t="n">
        <v>0.998542274052478</v>
      </c>
    </row>
    <row r="81" customFormat="false" ht="15" hidden="false" customHeight="false" outlineLevel="0" collapsed="false">
      <c r="A81" s="0" t="s">
        <v>33</v>
      </c>
      <c r="B81" s="0" t="s">
        <v>235</v>
      </c>
      <c r="C81" s="0" t="s">
        <v>184</v>
      </c>
      <c r="D81" s="0" t="n">
        <v>2100</v>
      </c>
      <c r="E81" s="6" t="n">
        <v>0.985238095238095</v>
      </c>
      <c r="F81" s="6" t="n">
        <v>0.97912306787242</v>
      </c>
      <c r="G81" s="6" t="n">
        <v>0.989581039889305</v>
      </c>
      <c r="H81" s="7" t="n">
        <v>0.821</v>
      </c>
      <c r="I81" s="7" t="n">
        <v>1.357</v>
      </c>
      <c r="J81" s="6" t="n">
        <v>0.999516674722088</v>
      </c>
    </row>
    <row r="82" customFormat="false" ht="15" hidden="false" customHeight="false" outlineLevel="0" collapsed="false">
      <c r="A82" s="0" t="s">
        <v>33</v>
      </c>
      <c r="B82" s="0" t="s">
        <v>236</v>
      </c>
      <c r="C82" s="0" t="s">
        <v>181</v>
      </c>
      <c r="D82" s="0" t="n">
        <v>700</v>
      </c>
      <c r="E82" s="6" t="n">
        <v>0.99</v>
      </c>
      <c r="F82" s="6" t="n">
        <v>0.979503326116614</v>
      </c>
      <c r="G82" s="6" t="n">
        <v>0.995147788566008</v>
      </c>
      <c r="H82" s="7" t="n">
        <v>1.089</v>
      </c>
      <c r="I82" s="7" t="n">
        <v>1.45</v>
      </c>
      <c r="J82" s="6" t="n">
        <v>0.97979797979798</v>
      </c>
    </row>
    <row r="83" customFormat="false" ht="15" hidden="false" customHeight="false" outlineLevel="0" collapsed="false">
      <c r="A83" s="0" t="s">
        <v>33</v>
      </c>
      <c r="B83" s="0" t="s">
        <v>236</v>
      </c>
      <c r="C83" s="0" t="s">
        <v>182</v>
      </c>
      <c r="D83" s="0" t="n">
        <v>700</v>
      </c>
      <c r="E83" s="6" t="n">
        <v>0.988571428571429</v>
      </c>
      <c r="F83" s="6" t="n">
        <v>0.977611666601191</v>
      </c>
      <c r="G83" s="6" t="n">
        <v>0.994197899642123</v>
      </c>
      <c r="H83" s="7" t="n">
        <v>0.4975</v>
      </c>
      <c r="I83" s="7" t="n">
        <v>0.84</v>
      </c>
      <c r="J83" s="6" t="n">
        <v>0.992774566473988</v>
      </c>
    </row>
    <row r="84" customFormat="false" ht="15" hidden="false" customHeight="false" outlineLevel="0" collapsed="false">
      <c r="A84" s="0" t="s">
        <v>33</v>
      </c>
      <c r="B84" s="0" t="s">
        <v>236</v>
      </c>
      <c r="C84" s="0" t="s">
        <v>183</v>
      </c>
      <c r="D84" s="0" t="n">
        <v>700</v>
      </c>
      <c r="E84" s="6" t="n">
        <v>0.987142857142857</v>
      </c>
      <c r="F84" s="6" t="n">
        <v>0.97574661193468</v>
      </c>
      <c r="G84" s="6" t="n">
        <v>0.993221405869326</v>
      </c>
      <c r="H84" s="7" t="n">
        <v>0.776</v>
      </c>
      <c r="I84" s="7" t="n">
        <v>1.325</v>
      </c>
      <c r="J84" s="6" t="n">
        <v>0.998552821997106</v>
      </c>
    </row>
    <row r="85" customFormat="false" ht="15" hidden="false" customHeight="false" outlineLevel="0" collapsed="false">
      <c r="A85" s="0" t="s">
        <v>33</v>
      </c>
      <c r="B85" s="0" t="s">
        <v>236</v>
      </c>
      <c r="C85" s="0" t="s">
        <v>184</v>
      </c>
      <c r="D85" s="0" t="n">
        <v>2100</v>
      </c>
      <c r="E85" s="6" t="n">
        <v>0.988571428571429</v>
      </c>
      <c r="F85" s="6" t="n">
        <v>0.983050490079379</v>
      </c>
      <c r="G85" s="6" t="n">
        <v>0.992308111062456</v>
      </c>
      <c r="H85" s="7" t="n">
        <v>0.8335</v>
      </c>
      <c r="I85" s="7" t="n">
        <v>1.321</v>
      </c>
      <c r="J85" s="6" t="n">
        <v>0.990366088631985</v>
      </c>
    </row>
    <row r="86" customFormat="false" ht="15" hidden="false" customHeight="false" outlineLevel="0" collapsed="false">
      <c r="A86" s="0" t="s">
        <v>33</v>
      </c>
      <c r="B86" s="0" t="s">
        <v>237</v>
      </c>
      <c r="C86" s="0" t="s">
        <v>181</v>
      </c>
      <c r="D86" s="0" t="n">
        <v>700</v>
      </c>
      <c r="E86" s="6" t="n">
        <v>0.984285714285714</v>
      </c>
      <c r="F86" s="6" t="n">
        <v>0.97208169241775</v>
      </c>
      <c r="G86" s="6" t="n">
        <v>0.99120322850764</v>
      </c>
      <c r="H86" s="7" t="n">
        <v>1.898</v>
      </c>
      <c r="I86" s="7" t="n">
        <v>2.686</v>
      </c>
      <c r="J86" s="6" t="n">
        <v>0.986937590711176</v>
      </c>
    </row>
    <row r="87" customFormat="false" ht="15" hidden="false" customHeight="false" outlineLevel="0" collapsed="false">
      <c r="A87" s="0" t="s">
        <v>33</v>
      </c>
      <c r="B87" s="0" t="s">
        <v>237</v>
      </c>
      <c r="C87" s="0" t="s">
        <v>182</v>
      </c>
      <c r="D87" s="0" t="n">
        <v>700</v>
      </c>
      <c r="E87" s="6" t="n">
        <v>0.98</v>
      </c>
      <c r="F87" s="6" t="n">
        <v>0.966710489999096</v>
      </c>
      <c r="G87" s="6" t="n">
        <v>0.98804978560837</v>
      </c>
      <c r="H87" s="7" t="n">
        <v>1.258</v>
      </c>
      <c r="I87" s="7" t="n">
        <v>2.069</v>
      </c>
      <c r="J87" s="6" t="n">
        <v>0.994169096209913</v>
      </c>
    </row>
    <row r="88" customFormat="false" ht="15" hidden="false" customHeight="false" outlineLevel="0" collapsed="false">
      <c r="A88" s="0" t="s">
        <v>33</v>
      </c>
      <c r="B88" s="0" t="s">
        <v>237</v>
      </c>
      <c r="C88" s="0" t="s">
        <v>183</v>
      </c>
      <c r="D88" s="0" t="n">
        <v>700</v>
      </c>
      <c r="E88" s="6" t="n">
        <v>0.975714285714286</v>
      </c>
      <c r="F88" s="6" t="n">
        <v>0.961452692872833</v>
      </c>
      <c r="G88" s="6" t="n">
        <v>0.984782937416709</v>
      </c>
      <c r="H88" s="7" t="n">
        <v>0.813</v>
      </c>
      <c r="I88" s="7" t="n">
        <v>1.741</v>
      </c>
      <c r="J88" s="6" t="n">
        <v>0.992679355783309</v>
      </c>
    </row>
    <row r="89" customFormat="false" ht="15" hidden="false" customHeight="false" outlineLevel="0" collapsed="false">
      <c r="A89" s="0" t="s">
        <v>33</v>
      </c>
      <c r="B89" s="0" t="s">
        <v>237</v>
      </c>
      <c r="C89" s="0" t="s">
        <v>184</v>
      </c>
      <c r="D89" s="0" t="n">
        <v>2100</v>
      </c>
      <c r="E89" s="6" t="n">
        <v>0.98</v>
      </c>
      <c r="F89" s="6" t="n">
        <v>0.97307722915053</v>
      </c>
      <c r="G89" s="6" t="n">
        <v>0.985169817585308</v>
      </c>
      <c r="H89" s="7" t="n">
        <v>1.302</v>
      </c>
      <c r="I89" s="7" t="n">
        <v>2.341</v>
      </c>
      <c r="J89" s="6" t="n">
        <v>0.991253644314869</v>
      </c>
    </row>
    <row r="90" customFormat="false" ht="15" hidden="false" customHeight="false" outlineLevel="0" collapsed="false">
      <c r="A90" s="0" t="s">
        <v>33</v>
      </c>
      <c r="B90" s="0" t="s">
        <v>238</v>
      </c>
      <c r="C90" s="0" t="s">
        <v>181</v>
      </c>
      <c r="D90" s="0" t="n">
        <v>700</v>
      </c>
      <c r="E90" s="6" t="n">
        <v>0.985714285714286</v>
      </c>
      <c r="F90" s="6" t="n">
        <v>0.973904289668848</v>
      </c>
      <c r="G90" s="6" t="n">
        <v>0.99222217969585</v>
      </c>
      <c r="H90" s="7" t="n">
        <v>1.563</v>
      </c>
      <c r="I90" s="7" t="n">
        <v>2.042</v>
      </c>
      <c r="J90" s="6" t="n">
        <v>1</v>
      </c>
    </row>
    <row r="91" customFormat="false" ht="15" hidden="false" customHeight="false" outlineLevel="0" collapsed="false">
      <c r="A91" s="0" t="s">
        <v>33</v>
      </c>
      <c r="B91" s="0" t="s">
        <v>238</v>
      </c>
      <c r="C91" s="0" t="s">
        <v>182</v>
      </c>
      <c r="D91" s="0" t="n">
        <v>700</v>
      </c>
      <c r="E91" s="6" t="n">
        <v>0.987142857142857</v>
      </c>
      <c r="F91" s="6" t="n">
        <v>0.97574661193468</v>
      </c>
      <c r="G91" s="6" t="n">
        <v>0.993221405869326</v>
      </c>
      <c r="H91" s="7" t="n">
        <v>0.942</v>
      </c>
      <c r="I91" s="7" t="n">
        <v>1.444</v>
      </c>
      <c r="J91" s="6" t="n">
        <v>1</v>
      </c>
    </row>
    <row r="92" customFormat="false" ht="15" hidden="false" customHeight="false" outlineLevel="0" collapsed="false">
      <c r="A92" s="0" t="s">
        <v>33</v>
      </c>
      <c r="B92" s="0" t="s">
        <v>238</v>
      </c>
      <c r="C92" s="0" t="s">
        <v>183</v>
      </c>
      <c r="D92" s="0" t="n">
        <v>700</v>
      </c>
      <c r="E92" s="6" t="n">
        <v>0.99</v>
      </c>
      <c r="F92" s="6" t="n">
        <v>0.979503326116614</v>
      </c>
      <c r="G92" s="6" t="n">
        <v>0.995147788566008</v>
      </c>
      <c r="H92" s="7" t="n">
        <v>0.436</v>
      </c>
      <c r="I92" s="7" t="n">
        <v>0.991</v>
      </c>
      <c r="J92" s="6" t="n">
        <v>1</v>
      </c>
    </row>
    <row r="93" customFormat="false" ht="15" hidden="false" customHeight="false" outlineLevel="0" collapsed="false">
      <c r="A93" s="0" t="s">
        <v>33</v>
      </c>
      <c r="B93" s="0" t="s">
        <v>238</v>
      </c>
      <c r="C93" s="0" t="s">
        <v>184</v>
      </c>
      <c r="D93" s="0" t="n">
        <v>2100</v>
      </c>
      <c r="E93" s="6" t="n">
        <v>0.987619047619048</v>
      </c>
      <c r="F93" s="6" t="n">
        <v>0.981920288676132</v>
      </c>
      <c r="G93" s="6" t="n">
        <v>0.991537028642814</v>
      </c>
      <c r="H93" s="7" t="n">
        <v>0.9905</v>
      </c>
      <c r="I93" s="7" t="n">
        <v>1.76</v>
      </c>
      <c r="J93" s="6" t="n">
        <v>1</v>
      </c>
    </row>
    <row r="94" customFormat="false" ht="15" hidden="false" customHeight="false" outlineLevel="0" collapsed="false">
      <c r="A94" s="0" t="s">
        <v>33</v>
      </c>
      <c r="B94" s="0" t="s">
        <v>239</v>
      </c>
      <c r="C94" s="0" t="s">
        <v>181</v>
      </c>
      <c r="D94" s="0" t="n">
        <v>700</v>
      </c>
      <c r="E94" s="6" t="n">
        <v>0.984285714285714</v>
      </c>
      <c r="F94" s="6" t="n">
        <v>0.97208169241775</v>
      </c>
      <c r="G94" s="6" t="n">
        <v>0.99120322850764</v>
      </c>
      <c r="H94" s="7" t="n">
        <v>1.539</v>
      </c>
      <c r="I94" s="7" t="n">
        <v>2.354</v>
      </c>
      <c r="J94" s="6" t="n">
        <v>1</v>
      </c>
    </row>
    <row r="95" customFormat="false" ht="15" hidden="false" customHeight="false" outlineLevel="0" collapsed="false">
      <c r="A95" s="0" t="s">
        <v>33</v>
      </c>
      <c r="B95" s="0" t="s">
        <v>239</v>
      </c>
      <c r="C95" s="0" t="s">
        <v>182</v>
      </c>
      <c r="D95" s="0" t="n">
        <v>700</v>
      </c>
      <c r="E95" s="6" t="n">
        <v>0.988571428571429</v>
      </c>
      <c r="F95" s="6" t="n">
        <v>0.977611666601191</v>
      </c>
      <c r="G95" s="6" t="n">
        <v>0.994197899642123</v>
      </c>
      <c r="H95" s="7" t="n">
        <v>0.9115</v>
      </c>
      <c r="I95" s="7" t="n">
        <v>1.594</v>
      </c>
      <c r="J95" s="6" t="n">
        <v>1</v>
      </c>
    </row>
    <row r="96" customFormat="false" ht="15" hidden="false" customHeight="false" outlineLevel="0" collapsed="false">
      <c r="A96" s="0" t="s">
        <v>33</v>
      </c>
      <c r="B96" s="0" t="s">
        <v>239</v>
      </c>
      <c r="C96" s="0" t="s">
        <v>183</v>
      </c>
      <c r="D96" s="0" t="n">
        <v>700</v>
      </c>
      <c r="E96" s="6" t="n">
        <v>0.988571428571429</v>
      </c>
      <c r="F96" s="6" t="n">
        <v>0.977611666601191</v>
      </c>
      <c r="G96" s="6" t="n">
        <v>0.994197899642123</v>
      </c>
      <c r="H96" s="7" t="n">
        <v>0.385</v>
      </c>
      <c r="I96" s="7" t="n">
        <v>1.137</v>
      </c>
      <c r="J96" s="6" t="n">
        <v>1</v>
      </c>
    </row>
    <row r="97" customFormat="false" ht="15" hidden="false" customHeight="false" outlineLevel="0" collapsed="false">
      <c r="A97" s="0" t="s">
        <v>33</v>
      </c>
      <c r="B97" s="0" t="s">
        <v>239</v>
      </c>
      <c r="C97" s="0" t="s">
        <v>184</v>
      </c>
      <c r="D97" s="0" t="n">
        <v>2100</v>
      </c>
      <c r="E97" s="6" t="n">
        <v>0.987142857142857</v>
      </c>
      <c r="F97" s="6" t="n">
        <v>0.981357783633183</v>
      </c>
      <c r="G97" s="6" t="n">
        <v>0.991148891774319</v>
      </c>
      <c r="H97" s="7" t="n">
        <v>0.992</v>
      </c>
      <c r="I97" s="7" t="n">
        <v>1.928</v>
      </c>
      <c r="J97" s="6" t="n">
        <v>1</v>
      </c>
    </row>
    <row r="98" customFormat="false" ht="15" hidden="false" customHeight="false" outlineLevel="0" collapsed="false">
      <c r="A98" s="0" t="s">
        <v>48</v>
      </c>
      <c r="B98" s="0" t="s">
        <v>228</v>
      </c>
      <c r="C98" s="0" t="s">
        <v>181</v>
      </c>
      <c r="D98" s="0" t="n">
        <v>700</v>
      </c>
      <c r="E98" s="6" t="n">
        <v>0.998571428571429</v>
      </c>
      <c r="F98" s="6" t="n">
        <v>0.991952621292185</v>
      </c>
      <c r="G98" s="6" t="n">
        <v>0.999747784026285</v>
      </c>
      <c r="H98" s="7" t="n">
        <v>0.47</v>
      </c>
      <c r="I98" s="7" t="n">
        <v>0.985</v>
      </c>
      <c r="J98" s="6" t="n">
        <v>0.997138769670959</v>
      </c>
    </row>
    <row r="99" customFormat="false" ht="15" hidden="false" customHeight="false" outlineLevel="0" collapsed="false">
      <c r="A99" s="0" t="s">
        <v>48</v>
      </c>
      <c r="B99" s="0" t="s">
        <v>228</v>
      </c>
      <c r="C99" s="0" t="s">
        <v>182</v>
      </c>
      <c r="D99" s="0" t="n">
        <v>700</v>
      </c>
      <c r="E99" s="6" t="n">
        <v>1</v>
      </c>
      <c r="F99" s="6" t="n">
        <v>0.994541953757777</v>
      </c>
      <c r="G99" s="6" t="n">
        <v>1</v>
      </c>
      <c r="H99" s="7" t="n">
        <v>0.741</v>
      </c>
      <c r="I99" s="7" t="n">
        <v>1.872</v>
      </c>
      <c r="J99" s="6" t="n">
        <v>1</v>
      </c>
    </row>
    <row r="100" customFormat="false" ht="15" hidden="false" customHeight="false" outlineLevel="0" collapsed="false">
      <c r="A100" s="0" t="s">
        <v>48</v>
      </c>
      <c r="B100" s="0" t="s">
        <v>228</v>
      </c>
      <c r="C100" s="0" t="s">
        <v>183</v>
      </c>
      <c r="D100" s="0" t="n">
        <v>700</v>
      </c>
      <c r="E100" s="6" t="n">
        <v>0.997142857142857</v>
      </c>
      <c r="F100" s="6" t="n">
        <v>0.989642722089369</v>
      </c>
      <c r="G100" s="6" t="n">
        <v>0.999216134789793</v>
      </c>
      <c r="H100" s="7" t="n">
        <v>1.021</v>
      </c>
      <c r="I100" s="7" t="n">
        <v>1.635</v>
      </c>
      <c r="J100" s="6" t="n">
        <v>1</v>
      </c>
    </row>
    <row r="101" customFormat="false" ht="15" hidden="false" customHeight="false" outlineLevel="0" collapsed="false">
      <c r="A101" s="0" t="s">
        <v>48</v>
      </c>
      <c r="B101" s="0" t="s">
        <v>228</v>
      </c>
      <c r="C101" s="0" t="s">
        <v>184</v>
      </c>
      <c r="D101" s="0" t="n">
        <v>2100</v>
      </c>
      <c r="E101" s="6" t="n">
        <v>0.998571428571429</v>
      </c>
      <c r="F101" s="6" t="n">
        <v>0.995808031986912</v>
      </c>
      <c r="G101" s="6" t="n">
        <v>0.999514049295253</v>
      </c>
      <c r="H101" s="7" t="n">
        <v>0.799</v>
      </c>
      <c r="I101" s="7" t="n">
        <v>1.532</v>
      </c>
      <c r="J101" s="6" t="n">
        <v>0.999046256556986</v>
      </c>
    </row>
    <row r="102" customFormat="false" ht="15" hidden="false" customHeight="false" outlineLevel="0" collapsed="false">
      <c r="A102" s="0" t="s">
        <v>48</v>
      </c>
      <c r="B102" s="0" t="s">
        <v>229</v>
      </c>
      <c r="C102" s="0" t="s">
        <v>181</v>
      </c>
      <c r="D102" s="0" t="n">
        <v>700</v>
      </c>
      <c r="E102" s="6" t="n">
        <v>0.998571428571429</v>
      </c>
      <c r="F102" s="6" t="n">
        <v>0.991952621292185</v>
      </c>
      <c r="G102" s="6" t="n">
        <v>0.999747784026285</v>
      </c>
      <c r="H102" s="7" t="n">
        <v>0.627</v>
      </c>
      <c r="I102" s="7" t="n">
        <v>0.896</v>
      </c>
      <c r="J102" s="6" t="n">
        <v>1</v>
      </c>
    </row>
    <row r="103" customFormat="false" ht="15" hidden="false" customHeight="false" outlineLevel="0" collapsed="false">
      <c r="A103" s="0" t="s">
        <v>48</v>
      </c>
      <c r="B103" s="0" t="s">
        <v>229</v>
      </c>
      <c r="C103" s="0" t="s">
        <v>182</v>
      </c>
      <c r="D103" s="0" t="n">
        <v>700</v>
      </c>
      <c r="E103" s="6" t="n">
        <v>1</v>
      </c>
      <c r="F103" s="6" t="n">
        <v>0.994541953757777</v>
      </c>
      <c r="G103" s="6" t="n">
        <v>1</v>
      </c>
      <c r="H103" s="7" t="n">
        <v>0.2955</v>
      </c>
      <c r="I103" s="7" t="n">
        <v>0.715</v>
      </c>
      <c r="J103" s="6" t="n">
        <v>1</v>
      </c>
    </row>
    <row r="104" customFormat="false" ht="15" hidden="false" customHeight="false" outlineLevel="0" collapsed="false">
      <c r="A104" s="0" t="s">
        <v>48</v>
      </c>
      <c r="B104" s="0" t="s">
        <v>229</v>
      </c>
      <c r="C104" s="0" t="s">
        <v>183</v>
      </c>
      <c r="D104" s="0" t="n">
        <v>700</v>
      </c>
      <c r="E104" s="6" t="n">
        <v>0.998571428571429</v>
      </c>
      <c r="F104" s="6" t="n">
        <v>0.991952621292185</v>
      </c>
      <c r="G104" s="6" t="n">
        <v>0.999747784026285</v>
      </c>
      <c r="H104" s="7" t="n">
        <v>0.76</v>
      </c>
      <c r="I104" s="7" t="n">
        <v>1.093</v>
      </c>
      <c r="J104" s="6" t="n">
        <v>1</v>
      </c>
    </row>
    <row r="105" customFormat="false" ht="15" hidden="false" customHeight="false" outlineLevel="0" collapsed="false">
      <c r="A105" s="0" t="s">
        <v>48</v>
      </c>
      <c r="B105" s="0" t="s">
        <v>229</v>
      </c>
      <c r="C105" s="0" t="s">
        <v>184</v>
      </c>
      <c r="D105" s="0" t="n">
        <v>2100</v>
      </c>
      <c r="E105" s="6" t="n">
        <v>0.999047619047619</v>
      </c>
      <c r="F105" s="6" t="n">
        <v>0.996533933798472</v>
      </c>
      <c r="G105" s="6" t="n">
        <v>0.999738789395138</v>
      </c>
      <c r="H105" s="7" t="n">
        <v>0.638</v>
      </c>
      <c r="I105" s="7" t="n">
        <v>1.005</v>
      </c>
      <c r="J105" s="6" t="n">
        <v>1</v>
      </c>
    </row>
    <row r="106" customFormat="false" ht="15" hidden="false" customHeight="false" outlineLevel="0" collapsed="false">
      <c r="A106" s="0" t="s">
        <v>48</v>
      </c>
      <c r="B106" s="0" t="s">
        <v>230</v>
      </c>
      <c r="C106" s="0" t="s">
        <v>181</v>
      </c>
      <c r="D106" s="0" t="n">
        <v>700</v>
      </c>
      <c r="E106" s="6" t="n">
        <v>1</v>
      </c>
      <c r="F106" s="6" t="n">
        <v>0.994541953757777</v>
      </c>
      <c r="G106" s="6" t="n">
        <v>1</v>
      </c>
      <c r="H106" s="7" t="n">
        <v>0.657</v>
      </c>
      <c r="I106" s="7" t="n">
        <v>0.992</v>
      </c>
      <c r="J106" s="6" t="n">
        <v>0.998571428571429</v>
      </c>
    </row>
    <row r="107" customFormat="false" ht="15" hidden="false" customHeight="false" outlineLevel="0" collapsed="false">
      <c r="A107" s="0" t="s">
        <v>48</v>
      </c>
      <c r="B107" s="0" t="s">
        <v>230</v>
      </c>
      <c r="C107" s="0" t="s">
        <v>182</v>
      </c>
      <c r="D107" s="0" t="n">
        <v>700</v>
      </c>
      <c r="E107" s="6" t="n">
        <v>1</v>
      </c>
      <c r="F107" s="6" t="n">
        <v>0.994541953757777</v>
      </c>
      <c r="G107" s="6" t="n">
        <v>1</v>
      </c>
      <c r="H107" s="7" t="n">
        <v>0.329</v>
      </c>
      <c r="I107" s="7" t="n">
        <v>0.801</v>
      </c>
      <c r="J107" s="6" t="n">
        <v>0.995714285714286</v>
      </c>
    </row>
    <row r="108" customFormat="false" ht="15" hidden="false" customHeight="false" outlineLevel="0" collapsed="false">
      <c r="A108" s="0" t="s">
        <v>48</v>
      </c>
      <c r="B108" s="0" t="s">
        <v>230</v>
      </c>
      <c r="C108" s="0" t="s">
        <v>183</v>
      </c>
      <c r="D108" s="0" t="n">
        <v>700</v>
      </c>
      <c r="E108" s="6" t="n">
        <v>0.998571428571429</v>
      </c>
      <c r="F108" s="6" t="n">
        <v>0.991952621292185</v>
      </c>
      <c r="G108" s="6" t="n">
        <v>0.999747784026285</v>
      </c>
      <c r="H108" s="7" t="n">
        <v>0.792</v>
      </c>
      <c r="I108" s="7" t="n">
        <v>1.12</v>
      </c>
      <c r="J108" s="6" t="n">
        <v>0.997138769670959</v>
      </c>
    </row>
    <row r="109" customFormat="false" ht="15" hidden="false" customHeight="false" outlineLevel="0" collapsed="false">
      <c r="A109" s="0" t="s">
        <v>48</v>
      </c>
      <c r="B109" s="0" t="s">
        <v>230</v>
      </c>
      <c r="C109" s="0" t="s">
        <v>184</v>
      </c>
      <c r="D109" s="0" t="n">
        <v>2100</v>
      </c>
      <c r="E109" s="6" t="n">
        <v>0.99952380952381</v>
      </c>
      <c r="F109" s="6" t="n">
        <v>0.997307427200723</v>
      </c>
      <c r="G109" s="6" t="n">
        <v>0.999915937904331</v>
      </c>
      <c r="H109" s="7" t="n">
        <v>0.663</v>
      </c>
      <c r="I109" s="7" t="n">
        <v>1.041</v>
      </c>
      <c r="J109" s="6" t="n">
        <v>0.997141495950453</v>
      </c>
    </row>
    <row r="110" customFormat="false" ht="15" hidden="false" customHeight="false" outlineLevel="0" collapsed="false">
      <c r="A110" s="0" t="s">
        <v>48</v>
      </c>
      <c r="B110" s="0" t="s">
        <v>231</v>
      </c>
      <c r="C110" s="0" t="s">
        <v>181</v>
      </c>
      <c r="D110" s="0" t="n">
        <v>700</v>
      </c>
      <c r="E110" s="6" t="n">
        <v>1</v>
      </c>
      <c r="F110" s="6" t="n">
        <v>0.994541953757777</v>
      </c>
      <c r="G110" s="6" t="n">
        <v>1</v>
      </c>
      <c r="H110" s="7" t="n">
        <v>0.5895</v>
      </c>
      <c r="I110" s="7" t="n">
        <v>0.775</v>
      </c>
      <c r="J110" s="6" t="n">
        <v>1</v>
      </c>
    </row>
    <row r="111" customFormat="false" ht="15" hidden="false" customHeight="false" outlineLevel="0" collapsed="false">
      <c r="A111" s="0" t="s">
        <v>48</v>
      </c>
      <c r="B111" s="0" t="s">
        <v>231</v>
      </c>
      <c r="C111" s="0" t="s">
        <v>182</v>
      </c>
      <c r="D111" s="0" t="n">
        <v>700</v>
      </c>
      <c r="E111" s="6" t="n">
        <v>1</v>
      </c>
      <c r="F111" s="6" t="n">
        <v>0.994541953757777</v>
      </c>
      <c r="G111" s="6" t="n">
        <v>1</v>
      </c>
      <c r="H111" s="7" t="n">
        <v>0.2495</v>
      </c>
      <c r="I111" s="7" t="n">
        <v>0.49</v>
      </c>
      <c r="J111" s="6" t="n">
        <v>0.998571428571429</v>
      </c>
    </row>
    <row r="112" customFormat="false" ht="15" hidden="false" customHeight="false" outlineLevel="0" collapsed="false">
      <c r="A112" s="0" t="s">
        <v>48</v>
      </c>
      <c r="B112" s="0" t="s">
        <v>231</v>
      </c>
      <c r="C112" s="0" t="s">
        <v>183</v>
      </c>
      <c r="D112" s="0" t="n">
        <v>700</v>
      </c>
      <c r="E112" s="6" t="n">
        <v>0.998571428571429</v>
      </c>
      <c r="F112" s="6" t="n">
        <v>0.991952621292185</v>
      </c>
      <c r="G112" s="6" t="n">
        <v>0.999747784026285</v>
      </c>
      <c r="H112" s="7" t="n">
        <v>0.72</v>
      </c>
      <c r="I112" s="7" t="n">
        <v>1.04</v>
      </c>
      <c r="J112" s="6" t="n">
        <v>0.998569384835479</v>
      </c>
    </row>
    <row r="113" customFormat="false" ht="15" hidden="false" customHeight="false" outlineLevel="0" collapsed="false">
      <c r="A113" s="0" t="s">
        <v>48</v>
      </c>
      <c r="B113" s="0" t="s">
        <v>231</v>
      </c>
      <c r="C113" s="0" t="s">
        <v>184</v>
      </c>
      <c r="D113" s="0" t="n">
        <v>2100</v>
      </c>
      <c r="E113" s="6" t="n">
        <v>0.99952380952381</v>
      </c>
      <c r="F113" s="6" t="n">
        <v>0.997307427200723</v>
      </c>
      <c r="G113" s="6" t="n">
        <v>0.999915937904331</v>
      </c>
      <c r="H113" s="7" t="n">
        <v>0.6</v>
      </c>
      <c r="I113" s="7" t="n">
        <v>0.906</v>
      </c>
      <c r="J113" s="6" t="n">
        <v>0.999047165316818</v>
      </c>
    </row>
    <row r="114" customFormat="false" ht="15" hidden="false" customHeight="false" outlineLevel="0" collapsed="false">
      <c r="A114" s="0" t="s">
        <v>48</v>
      </c>
      <c r="B114" s="0" t="s">
        <v>232</v>
      </c>
      <c r="C114" s="0" t="s">
        <v>181</v>
      </c>
      <c r="D114" s="0" t="n">
        <v>700</v>
      </c>
      <c r="E114" s="6" t="n">
        <v>1</v>
      </c>
      <c r="F114" s="6" t="n">
        <v>0.994541953757777</v>
      </c>
      <c r="G114" s="6" t="n">
        <v>1</v>
      </c>
      <c r="H114" s="7" t="n">
        <v>0.654</v>
      </c>
      <c r="I114" s="7" t="n">
        <v>0.893</v>
      </c>
      <c r="J114" s="6" t="n">
        <v>1</v>
      </c>
    </row>
    <row r="115" customFormat="false" ht="15" hidden="false" customHeight="false" outlineLevel="0" collapsed="false">
      <c r="A115" s="0" t="s">
        <v>48</v>
      </c>
      <c r="B115" s="0" t="s">
        <v>232</v>
      </c>
      <c r="C115" s="0" t="s">
        <v>182</v>
      </c>
      <c r="D115" s="0" t="n">
        <v>700</v>
      </c>
      <c r="E115" s="6" t="n">
        <v>1</v>
      </c>
      <c r="F115" s="6" t="n">
        <v>0.994541953757777</v>
      </c>
      <c r="G115" s="6" t="n">
        <v>1</v>
      </c>
      <c r="H115" s="7" t="n">
        <v>0.3235</v>
      </c>
      <c r="I115" s="7" t="n">
        <v>0.559</v>
      </c>
      <c r="J115" s="6" t="n">
        <v>1</v>
      </c>
    </row>
    <row r="116" customFormat="false" ht="15" hidden="false" customHeight="false" outlineLevel="0" collapsed="false">
      <c r="A116" s="0" t="s">
        <v>48</v>
      </c>
      <c r="B116" s="0" t="s">
        <v>232</v>
      </c>
      <c r="C116" s="0" t="s">
        <v>183</v>
      </c>
      <c r="D116" s="0" t="n">
        <v>700</v>
      </c>
      <c r="E116" s="6" t="n">
        <v>1</v>
      </c>
      <c r="F116" s="6" t="n">
        <v>0.994541953757777</v>
      </c>
      <c r="G116" s="6" t="n">
        <v>1</v>
      </c>
      <c r="H116" s="7" t="n">
        <v>0.782</v>
      </c>
      <c r="I116" s="7" t="n">
        <v>1.101</v>
      </c>
      <c r="J116" s="6" t="n">
        <v>1</v>
      </c>
    </row>
    <row r="117" customFormat="false" ht="15" hidden="false" customHeight="false" outlineLevel="0" collapsed="false">
      <c r="A117" s="0" t="s">
        <v>48</v>
      </c>
      <c r="B117" s="0" t="s">
        <v>232</v>
      </c>
      <c r="C117" s="0" t="s">
        <v>184</v>
      </c>
      <c r="D117" s="0" t="n">
        <v>2100</v>
      </c>
      <c r="E117" s="6" t="n">
        <v>1</v>
      </c>
      <c r="F117" s="6" t="n">
        <v>0.998174007016498</v>
      </c>
      <c r="G117" s="6" t="n">
        <v>1</v>
      </c>
      <c r="H117" s="7" t="n">
        <v>0.66</v>
      </c>
      <c r="I117" s="7" t="n">
        <v>0.956</v>
      </c>
      <c r="J117" s="6" t="n">
        <v>1</v>
      </c>
    </row>
    <row r="118" customFormat="false" ht="15" hidden="false" customHeight="false" outlineLevel="0" collapsed="false">
      <c r="A118" s="0" t="s">
        <v>48</v>
      </c>
      <c r="B118" s="0" t="s">
        <v>233</v>
      </c>
      <c r="C118" s="0" t="s">
        <v>181</v>
      </c>
      <c r="D118" s="0" t="n">
        <v>700</v>
      </c>
      <c r="E118" s="6" t="n">
        <v>0.997142857142857</v>
      </c>
      <c r="F118" s="6" t="n">
        <v>0.989642722089369</v>
      </c>
      <c r="G118" s="6" t="n">
        <v>0.999216134789793</v>
      </c>
      <c r="H118" s="7" t="n">
        <v>0.8345</v>
      </c>
      <c r="I118" s="7" t="n">
        <v>1.268</v>
      </c>
      <c r="J118" s="6" t="n">
        <v>1</v>
      </c>
    </row>
    <row r="119" customFormat="false" ht="15" hidden="false" customHeight="false" outlineLevel="0" collapsed="false">
      <c r="A119" s="0" t="s">
        <v>48</v>
      </c>
      <c r="B119" s="0" t="s">
        <v>233</v>
      </c>
      <c r="C119" s="0" t="s">
        <v>182</v>
      </c>
      <c r="D119" s="0" t="n">
        <v>700</v>
      </c>
      <c r="E119" s="6" t="n">
        <v>1</v>
      </c>
      <c r="F119" s="6" t="n">
        <v>0.994541953757777</v>
      </c>
      <c r="G119" s="6" t="n">
        <v>1</v>
      </c>
      <c r="H119" s="7" t="n">
        <v>1</v>
      </c>
      <c r="I119" s="7" t="n">
        <v>1.392</v>
      </c>
      <c r="J119" s="6" t="n">
        <v>1</v>
      </c>
    </row>
    <row r="120" customFormat="false" ht="15" hidden="false" customHeight="false" outlineLevel="0" collapsed="false">
      <c r="A120" s="0" t="s">
        <v>48</v>
      </c>
      <c r="B120" s="0" t="s">
        <v>233</v>
      </c>
      <c r="C120" s="0" t="s">
        <v>183</v>
      </c>
      <c r="D120" s="0" t="n">
        <v>700</v>
      </c>
      <c r="E120" s="6" t="n">
        <v>0.998571428571429</v>
      </c>
      <c r="F120" s="6" t="n">
        <v>0.991952621292185</v>
      </c>
      <c r="G120" s="6" t="n">
        <v>0.999747784026285</v>
      </c>
      <c r="H120" s="7" t="n">
        <v>1.33</v>
      </c>
      <c r="I120" s="7" t="n">
        <v>1.65</v>
      </c>
      <c r="J120" s="6" t="n">
        <v>1</v>
      </c>
    </row>
    <row r="121" customFormat="false" ht="15" hidden="false" customHeight="false" outlineLevel="0" collapsed="false">
      <c r="A121" s="0" t="s">
        <v>48</v>
      </c>
      <c r="B121" s="0" t="s">
        <v>233</v>
      </c>
      <c r="C121" s="0" t="s">
        <v>184</v>
      </c>
      <c r="D121" s="0" t="n">
        <v>2100</v>
      </c>
      <c r="E121" s="6" t="n">
        <v>0.998571428571429</v>
      </c>
      <c r="F121" s="6" t="n">
        <v>0.995808031986912</v>
      </c>
      <c r="G121" s="6" t="n">
        <v>0.999514049295253</v>
      </c>
      <c r="H121" s="7" t="n">
        <v>1.105</v>
      </c>
      <c r="I121" s="7" t="n">
        <v>1.522</v>
      </c>
      <c r="J121" s="6" t="n">
        <v>1</v>
      </c>
    </row>
    <row r="122" customFormat="false" ht="15" hidden="false" customHeight="false" outlineLevel="0" collapsed="false">
      <c r="A122" s="0" t="s">
        <v>48</v>
      </c>
      <c r="B122" s="0" t="s">
        <v>234</v>
      </c>
      <c r="C122" s="0" t="s">
        <v>181</v>
      </c>
      <c r="D122" s="0" t="n">
        <v>700</v>
      </c>
      <c r="E122" s="6" t="n">
        <v>1</v>
      </c>
      <c r="F122" s="6" t="n">
        <v>0.994541953757777</v>
      </c>
      <c r="G122" s="6" t="n">
        <v>1</v>
      </c>
      <c r="H122" s="7" t="n">
        <v>1.3245</v>
      </c>
      <c r="I122" s="7" t="n">
        <v>1.82</v>
      </c>
      <c r="J122" s="6" t="n">
        <v>1</v>
      </c>
    </row>
    <row r="123" customFormat="false" ht="15" hidden="false" customHeight="false" outlineLevel="0" collapsed="false">
      <c r="A123" s="0" t="s">
        <v>48</v>
      </c>
      <c r="B123" s="0" t="s">
        <v>234</v>
      </c>
      <c r="C123" s="0" t="s">
        <v>182</v>
      </c>
      <c r="D123" s="0" t="n">
        <v>700</v>
      </c>
      <c r="E123" s="6" t="n">
        <v>0.995714285714286</v>
      </c>
      <c r="F123" s="6" t="n">
        <v>0.987475859383073</v>
      </c>
      <c r="G123" s="6" t="n">
        <v>0.99854144905678</v>
      </c>
      <c r="H123" s="7" t="n">
        <v>1.203</v>
      </c>
      <c r="I123" s="7" t="n">
        <v>1.844</v>
      </c>
      <c r="J123" s="6" t="n">
        <v>1</v>
      </c>
    </row>
    <row r="124" customFormat="false" ht="15" hidden="false" customHeight="false" outlineLevel="0" collapsed="false">
      <c r="A124" s="0" t="s">
        <v>48</v>
      </c>
      <c r="B124" s="0" t="s">
        <v>234</v>
      </c>
      <c r="C124" s="0" t="s">
        <v>183</v>
      </c>
      <c r="D124" s="0" t="n">
        <v>700</v>
      </c>
      <c r="E124" s="6" t="n">
        <v>0.994285714285714</v>
      </c>
      <c r="F124" s="6" t="n">
        <v>0.985400075576777</v>
      </c>
      <c r="G124" s="6" t="n">
        <v>0.997775684423769</v>
      </c>
      <c r="H124" s="7" t="n">
        <v>0.552</v>
      </c>
      <c r="I124" s="7" t="n">
        <v>0.95</v>
      </c>
      <c r="J124" s="6" t="n">
        <v>1</v>
      </c>
    </row>
    <row r="125" customFormat="false" ht="15" hidden="false" customHeight="false" outlineLevel="0" collapsed="false">
      <c r="A125" s="0" t="s">
        <v>48</v>
      </c>
      <c r="B125" s="0" t="s">
        <v>234</v>
      </c>
      <c r="C125" s="0" t="s">
        <v>184</v>
      </c>
      <c r="D125" s="0" t="n">
        <v>2100</v>
      </c>
      <c r="E125" s="6" t="n">
        <v>0.996666666666667</v>
      </c>
      <c r="F125" s="6" t="n">
        <v>0.993135096851519</v>
      </c>
      <c r="G125" s="6" t="n">
        <v>0.99838441678487</v>
      </c>
      <c r="H125" s="7" t="n">
        <v>1.104</v>
      </c>
      <c r="I125" s="7" t="n">
        <v>1.684</v>
      </c>
      <c r="J125" s="6" t="n">
        <v>1</v>
      </c>
    </row>
    <row r="126" customFormat="false" ht="15" hidden="false" customHeight="false" outlineLevel="0" collapsed="false">
      <c r="A126" s="0" t="s">
        <v>48</v>
      </c>
      <c r="B126" s="0" t="s">
        <v>235</v>
      </c>
      <c r="C126" s="0" t="s">
        <v>181</v>
      </c>
      <c r="D126" s="0" t="n">
        <v>700</v>
      </c>
      <c r="E126" s="6" t="n">
        <v>1</v>
      </c>
      <c r="F126" s="6" t="n">
        <v>0.994541953757777</v>
      </c>
      <c r="G126" s="6" t="n">
        <v>1</v>
      </c>
      <c r="H126" s="7" t="n">
        <v>0.6895</v>
      </c>
      <c r="I126" s="7" t="n">
        <v>1.073</v>
      </c>
      <c r="J126" s="6" t="n">
        <v>0.998571428571429</v>
      </c>
    </row>
    <row r="127" customFormat="false" ht="15" hidden="false" customHeight="false" outlineLevel="0" collapsed="false">
      <c r="A127" s="0" t="s">
        <v>48</v>
      </c>
      <c r="B127" s="0" t="s">
        <v>235</v>
      </c>
      <c r="C127" s="0" t="s">
        <v>182</v>
      </c>
      <c r="D127" s="0" t="n">
        <v>700</v>
      </c>
      <c r="E127" s="6" t="n">
        <v>1</v>
      </c>
      <c r="F127" s="6" t="n">
        <v>0.994541953757777</v>
      </c>
      <c r="G127" s="6" t="n">
        <v>1</v>
      </c>
      <c r="H127" s="7" t="n">
        <v>0.333</v>
      </c>
      <c r="I127" s="7" t="n">
        <v>0.686</v>
      </c>
      <c r="J127" s="6" t="n">
        <v>1</v>
      </c>
    </row>
    <row r="128" customFormat="false" ht="15" hidden="false" customHeight="false" outlineLevel="0" collapsed="false">
      <c r="A128" s="0" t="s">
        <v>48</v>
      </c>
      <c r="B128" s="0" t="s">
        <v>235</v>
      </c>
      <c r="C128" s="0" t="s">
        <v>183</v>
      </c>
      <c r="D128" s="0" t="n">
        <v>700</v>
      </c>
      <c r="E128" s="6" t="n">
        <v>0.998571428571429</v>
      </c>
      <c r="F128" s="6" t="n">
        <v>0.991952621292185</v>
      </c>
      <c r="G128" s="6" t="n">
        <v>0.999747784026285</v>
      </c>
      <c r="H128" s="7" t="n">
        <v>0.839</v>
      </c>
      <c r="I128" s="7" t="n">
        <v>1.2</v>
      </c>
      <c r="J128" s="6" t="n">
        <v>1</v>
      </c>
    </row>
    <row r="129" customFormat="false" ht="15" hidden="false" customHeight="false" outlineLevel="0" collapsed="false">
      <c r="A129" s="0" t="s">
        <v>48</v>
      </c>
      <c r="B129" s="0" t="s">
        <v>235</v>
      </c>
      <c r="C129" s="0" t="s">
        <v>184</v>
      </c>
      <c r="D129" s="0" t="n">
        <v>2100</v>
      </c>
      <c r="E129" s="6" t="n">
        <v>0.99952380952381</v>
      </c>
      <c r="F129" s="6" t="n">
        <v>0.997307427200723</v>
      </c>
      <c r="G129" s="6" t="n">
        <v>0.999915937904331</v>
      </c>
      <c r="H129" s="7" t="n">
        <v>0.679</v>
      </c>
      <c r="I129" s="7" t="n">
        <v>1.101</v>
      </c>
      <c r="J129" s="6" t="n">
        <v>0.999523582658409</v>
      </c>
    </row>
    <row r="130" customFormat="false" ht="15" hidden="false" customHeight="false" outlineLevel="0" collapsed="false">
      <c r="A130" s="0" t="s">
        <v>48</v>
      </c>
      <c r="B130" s="0" t="s">
        <v>236</v>
      </c>
      <c r="C130" s="0" t="s">
        <v>181</v>
      </c>
      <c r="D130" s="0" t="n">
        <v>700</v>
      </c>
      <c r="E130" s="6" t="n">
        <v>1</v>
      </c>
      <c r="F130" s="6" t="n">
        <v>0.994541953757777</v>
      </c>
      <c r="G130" s="6" t="n">
        <v>1</v>
      </c>
      <c r="H130" s="7" t="n">
        <v>0.752</v>
      </c>
      <c r="I130" s="7" t="n">
        <v>1.03</v>
      </c>
      <c r="J130" s="6" t="n">
        <v>0.997142857142857</v>
      </c>
    </row>
    <row r="131" customFormat="false" ht="15" hidden="false" customHeight="false" outlineLevel="0" collapsed="false">
      <c r="A131" s="0" t="s">
        <v>48</v>
      </c>
      <c r="B131" s="0" t="s">
        <v>236</v>
      </c>
      <c r="C131" s="0" t="s">
        <v>182</v>
      </c>
      <c r="D131" s="0" t="n">
        <v>700</v>
      </c>
      <c r="E131" s="6" t="n">
        <v>1</v>
      </c>
      <c r="F131" s="6" t="n">
        <v>0.994541953757777</v>
      </c>
      <c r="G131" s="6" t="n">
        <v>1</v>
      </c>
      <c r="H131" s="7" t="n">
        <v>0.4005</v>
      </c>
      <c r="I131" s="7" t="n">
        <v>0.662</v>
      </c>
      <c r="J131" s="6" t="n">
        <v>0.994285714285714</v>
      </c>
    </row>
    <row r="132" customFormat="false" ht="15" hidden="false" customHeight="false" outlineLevel="0" collapsed="false">
      <c r="A132" s="0" t="s">
        <v>48</v>
      </c>
      <c r="B132" s="0" t="s">
        <v>236</v>
      </c>
      <c r="C132" s="0" t="s">
        <v>183</v>
      </c>
      <c r="D132" s="0" t="n">
        <v>700</v>
      </c>
      <c r="E132" s="6" t="n">
        <v>1</v>
      </c>
      <c r="F132" s="6" t="n">
        <v>0.994541953757777</v>
      </c>
      <c r="G132" s="6" t="n">
        <v>1</v>
      </c>
      <c r="H132" s="7" t="n">
        <v>0.895</v>
      </c>
      <c r="I132" s="7" t="n">
        <v>1.243</v>
      </c>
      <c r="J132" s="6" t="n">
        <v>0.991428571428571</v>
      </c>
    </row>
    <row r="133" customFormat="false" ht="15" hidden="false" customHeight="false" outlineLevel="0" collapsed="false">
      <c r="A133" s="0" t="s">
        <v>48</v>
      </c>
      <c r="B133" s="0" t="s">
        <v>236</v>
      </c>
      <c r="C133" s="0" t="s">
        <v>184</v>
      </c>
      <c r="D133" s="0" t="n">
        <v>2100</v>
      </c>
      <c r="E133" s="6" t="n">
        <v>1</v>
      </c>
      <c r="F133" s="6" t="n">
        <v>0.998174007016498</v>
      </c>
      <c r="G133" s="6" t="n">
        <v>1</v>
      </c>
      <c r="H133" s="7" t="n">
        <v>0.745</v>
      </c>
      <c r="I133" s="7" t="n">
        <v>1.104</v>
      </c>
      <c r="J133" s="6" t="n">
        <v>0.994285714285714</v>
      </c>
    </row>
    <row r="134" customFormat="false" ht="15" hidden="false" customHeight="false" outlineLevel="0" collapsed="false">
      <c r="A134" s="0" t="s">
        <v>48</v>
      </c>
      <c r="B134" s="0" t="s">
        <v>237</v>
      </c>
      <c r="C134" s="0" t="s">
        <v>181</v>
      </c>
      <c r="D134" s="0" t="n">
        <v>700</v>
      </c>
      <c r="E134" s="6" t="n">
        <v>1</v>
      </c>
      <c r="F134" s="6" t="n">
        <v>0.994541953757777</v>
      </c>
      <c r="G134" s="6" t="n">
        <v>1</v>
      </c>
      <c r="H134" s="7" t="n">
        <v>0.766</v>
      </c>
      <c r="I134" s="7" t="n">
        <v>1.074</v>
      </c>
      <c r="J134" s="6" t="n">
        <v>0.998571428571429</v>
      </c>
    </row>
    <row r="135" customFormat="false" ht="15" hidden="false" customHeight="false" outlineLevel="0" collapsed="false">
      <c r="A135" s="0" t="s">
        <v>48</v>
      </c>
      <c r="B135" s="0" t="s">
        <v>237</v>
      </c>
      <c r="C135" s="0" t="s">
        <v>182</v>
      </c>
      <c r="D135" s="0" t="n">
        <v>700</v>
      </c>
      <c r="E135" s="6" t="n">
        <v>0.998571428571429</v>
      </c>
      <c r="F135" s="6" t="n">
        <v>0.991952621292185</v>
      </c>
      <c r="G135" s="6" t="n">
        <v>0.999747784026285</v>
      </c>
      <c r="H135" s="7" t="n">
        <v>0.465</v>
      </c>
      <c r="I135" s="7" t="n">
        <v>0.832</v>
      </c>
      <c r="J135" s="6" t="n">
        <v>0.992846924177396</v>
      </c>
    </row>
    <row r="136" customFormat="false" ht="15" hidden="false" customHeight="false" outlineLevel="0" collapsed="false">
      <c r="A136" s="0" t="s">
        <v>48</v>
      </c>
      <c r="B136" s="0" t="s">
        <v>237</v>
      </c>
      <c r="C136" s="0" t="s">
        <v>183</v>
      </c>
      <c r="D136" s="0" t="n">
        <v>700</v>
      </c>
      <c r="E136" s="6" t="n">
        <v>1</v>
      </c>
      <c r="F136" s="6" t="n">
        <v>0.994541953757777</v>
      </c>
      <c r="G136" s="6" t="n">
        <v>1</v>
      </c>
      <c r="H136" s="7" t="n">
        <v>0.9705</v>
      </c>
      <c r="I136" s="7" t="n">
        <v>1.332</v>
      </c>
      <c r="J136" s="6" t="n">
        <v>0.997142857142857</v>
      </c>
    </row>
    <row r="137" customFormat="false" ht="15" hidden="false" customHeight="false" outlineLevel="0" collapsed="false">
      <c r="A137" s="0" t="s">
        <v>48</v>
      </c>
      <c r="B137" s="0" t="s">
        <v>237</v>
      </c>
      <c r="C137" s="0" t="s">
        <v>184</v>
      </c>
      <c r="D137" s="0" t="n">
        <v>2100</v>
      </c>
      <c r="E137" s="6" t="n">
        <v>0.99952380952381</v>
      </c>
      <c r="F137" s="6" t="n">
        <v>0.997307427200723</v>
      </c>
      <c r="G137" s="6" t="n">
        <v>0.999915937904331</v>
      </c>
      <c r="H137" s="7" t="n">
        <v>0.77</v>
      </c>
      <c r="I137" s="7" t="n">
        <v>1.187</v>
      </c>
      <c r="J137" s="6" t="n">
        <v>0.99618866126727</v>
      </c>
    </row>
    <row r="138" customFormat="false" ht="15" hidden="false" customHeight="false" outlineLevel="0" collapsed="false">
      <c r="A138" s="0" t="s">
        <v>48</v>
      </c>
      <c r="B138" s="0" t="s">
        <v>238</v>
      </c>
      <c r="C138" s="0" t="s">
        <v>181</v>
      </c>
      <c r="D138" s="0" t="n">
        <v>700</v>
      </c>
      <c r="E138" s="6" t="n">
        <v>1</v>
      </c>
      <c r="F138" s="6" t="n">
        <v>0.994541953757777</v>
      </c>
      <c r="G138" s="6" t="n">
        <v>1</v>
      </c>
      <c r="H138" s="7" t="n">
        <v>1.185</v>
      </c>
      <c r="I138" s="7" t="n">
        <v>1.43</v>
      </c>
      <c r="J138" s="6" t="n">
        <v>0.998571428571429</v>
      </c>
    </row>
    <row r="139" customFormat="false" ht="15" hidden="false" customHeight="false" outlineLevel="0" collapsed="false">
      <c r="A139" s="0" t="s">
        <v>48</v>
      </c>
      <c r="B139" s="0" t="s">
        <v>238</v>
      </c>
      <c r="C139" s="0" t="s">
        <v>182</v>
      </c>
      <c r="D139" s="0" t="n">
        <v>700</v>
      </c>
      <c r="E139" s="6" t="n">
        <v>1</v>
      </c>
      <c r="F139" s="6" t="n">
        <v>0.994541953757777</v>
      </c>
      <c r="G139" s="6" t="n">
        <v>1</v>
      </c>
      <c r="H139" s="7" t="n">
        <v>1.043</v>
      </c>
      <c r="I139" s="7" t="n">
        <v>1.403</v>
      </c>
      <c r="J139" s="6" t="n">
        <v>0.997142857142857</v>
      </c>
    </row>
    <row r="140" customFormat="false" ht="15" hidden="false" customHeight="false" outlineLevel="0" collapsed="false">
      <c r="A140" s="0" t="s">
        <v>48</v>
      </c>
      <c r="B140" s="0" t="s">
        <v>238</v>
      </c>
      <c r="C140" s="0" t="s">
        <v>183</v>
      </c>
      <c r="D140" s="0" t="n">
        <v>700</v>
      </c>
      <c r="E140" s="6" t="n">
        <v>1</v>
      </c>
      <c r="F140" s="6" t="n">
        <v>0.994541953757777</v>
      </c>
      <c r="G140" s="6" t="n">
        <v>1</v>
      </c>
      <c r="H140" s="7" t="n">
        <v>0.431</v>
      </c>
      <c r="I140" s="7" t="n">
        <v>0.67</v>
      </c>
      <c r="J140" s="6" t="n">
        <v>0.997142857142857</v>
      </c>
    </row>
    <row r="141" customFormat="false" ht="15" hidden="false" customHeight="false" outlineLevel="0" collapsed="false">
      <c r="A141" s="0" t="s">
        <v>48</v>
      </c>
      <c r="B141" s="0" t="s">
        <v>238</v>
      </c>
      <c r="C141" s="0" t="s">
        <v>184</v>
      </c>
      <c r="D141" s="0" t="n">
        <v>2100</v>
      </c>
      <c r="E141" s="6" t="n">
        <v>1</v>
      </c>
      <c r="F141" s="6" t="n">
        <v>0.998174007016498</v>
      </c>
      <c r="G141" s="6" t="n">
        <v>1</v>
      </c>
      <c r="H141" s="7" t="n">
        <v>1.033</v>
      </c>
      <c r="I141" s="7" t="n">
        <v>1.338</v>
      </c>
      <c r="J141" s="6" t="n">
        <v>0.997619047619048</v>
      </c>
    </row>
    <row r="142" customFormat="false" ht="15" hidden="false" customHeight="false" outlineLevel="0" collapsed="false">
      <c r="A142" s="0" t="s">
        <v>48</v>
      </c>
      <c r="B142" s="0" t="s">
        <v>239</v>
      </c>
      <c r="C142" s="0" t="s">
        <v>181</v>
      </c>
      <c r="D142" s="0" t="n">
        <v>700</v>
      </c>
      <c r="E142" s="6" t="n">
        <v>0.998571428571429</v>
      </c>
      <c r="F142" s="6" t="n">
        <v>0.991952621292185</v>
      </c>
      <c r="G142" s="6" t="n">
        <v>0.999747784026285</v>
      </c>
      <c r="H142" s="7" t="n">
        <v>1.101</v>
      </c>
      <c r="I142" s="7" t="n">
        <v>1.61</v>
      </c>
      <c r="J142" s="6" t="n">
        <v>0.998569384835479</v>
      </c>
    </row>
    <row r="143" customFormat="false" ht="15" hidden="false" customHeight="false" outlineLevel="0" collapsed="false">
      <c r="A143" s="0" t="s">
        <v>48</v>
      </c>
      <c r="B143" s="0" t="s">
        <v>239</v>
      </c>
      <c r="C143" s="0" t="s">
        <v>182</v>
      </c>
      <c r="D143" s="0" t="n">
        <v>700</v>
      </c>
      <c r="E143" s="6" t="n">
        <v>1</v>
      </c>
      <c r="F143" s="6" t="n">
        <v>0.994541953757777</v>
      </c>
      <c r="G143" s="6" t="n">
        <v>1</v>
      </c>
      <c r="H143" s="7" t="n">
        <v>0.953</v>
      </c>
      <c r="I143" s="7" t="n">
        <v>1.404</v>
      </c>
      <c r="J143" s="6" t="n">
        <v>1</v>
      </c>
    </row>
    <row r="144" customFormat="false" ht="15" hidden="false" customHeight="false" outlineLevel="0" collapsed="false">
      <c r="A144" s="0" t="s">
        <v>48</v>
      </c>
      <c r="B144" s="0" t="s">
        <v>239</v>
      </c>
      <c r="C144" s="0" t="s">
        <v>183</v>
      </c>
      <c r="D144" s="0" t="n">
        <v>700</v>
      </c>
      <c r="E144" s="6" t="n">
        <v>1</v>
      </c>
      <c r="F144" s="6" t="n">
        <v>0.994541953757777</v>
      </c>
      <c r="G144" s="6" t="n">
        <v>1</v>
      </c>
      <c r="H144" s="7" t="n">
        <v>0.3125</v>
      </c>
      <c r="I144" s="7" t="n">
        <v>0.767</v>
      </c>
      <c r="J144" s="6" t="n">
        <v>1</v>
      </c>
    </row>
    <row r="145" customFormat="false" ht="15" hidden="false" customHeight="false" outlineLevel="0" collapsed="false">
      <c r="A145" s="0" t="s">
        <v>48</v>
      </c>
      <c r="B145" s="0" t="s">
        <v>239</v>
      </c>
      <c r="C145" s="0" t="s">
        <v>184</v>
      </c>
      <c r="D145" s="0" t="n">
        <v>2100</v>
      </c>
      <c r="E145" s="6" t="n">
        <v>0.99952380952381</v>
      </c>
      <c r="F145" s="6" t="n">
        <v>0.997307427200723</v>
      </c>
      <c r="G145" s="6" t="n">
        <v>0.999915937904331</v>
      </c>
      <c r="H145" s="7" t="n">
        <v>0.93</v>
      </c>
      <c r="I145" s="7" t="n">
        <v>1.4</v>
      </c>
      <c r="J145" s="6" t="n">
        <v>0.999523582658409</v>
      </c>
    </row>
    <row r="146" customFormat="false" ht="15" hidden="false" customHeight="false" outlineLevel="0" collapsed="false">
      <c r="A146" s="0" t="s">
        <v>63</v>
      </c>
      <c r="B146" s="0" t="s">
        <v>228</v>
      </c>
      <c r="C146" s="0" t="s">
        <v>181</v>
      </c>
      <c r="D146" s="0" t="n">
        <v>700</v>
      </c>
      <c r="E146" s="6" t="n">
        <v>1</v>
      </c>
      <c r="F146" s="6" t="n">
        <v>0.994541953757777</v>
      </c>
      <c r="G146" s="6" t="n">
        <v>1</v>
      </c>
      <c r="H146" s="7" t="n">
        <v>0.4835</v>
      </c>
      <c r="I146" s="7" t="n">
        <v>1.887</v>
      </c>
      <c r="J146" s="6" t="n">
        <v>0.998571428571429</v>
      </c>
    </row>
    <row r="147" customFormat="false" ht="15" hidden="false" customHeight="false" outlineLevel="0" collapsed="false">
      <c r="A147" s="0" t="s">
        <v>63</v>
      </c>
      <c r="B147" s="0" t="s">
        <v>228</v>
      </c>
      <c r="C147" s="0" t="s">
        <v>182</v>
      </c>
      <c r="D147" s="0" t="n">
        <v>700</v>
      </c>
      <c r="E147" s="6" t="n">
        <v>0.998571428571429</v>
      </c>
      <c r="F147" s="6" t="n">
        <v>0.991952621292185</v>
      </c>
      <c r="G147" s="6" t="n">
        <v>0.999747784026285</v>
      </c>
      <c r="H147" s="7" t="n">
        <v>0.926</v>
      </c>
      <c r="I147" s="7" t="n">
        <v>3.583</v>
      </c>
      <c r="J147" s="6" t="n">
        <v>0.997138769670959</v>
      </c>
    </row>
    <row r="148" customFormat="false" ht="15" hidden="false" customHeight="false" outlineLevel="0" collapsed="false">
      <c r="A148" s="0" t="s">
        <v>63</v>
      </c>
      <c r="B148" s="0" t="s">
        <v>228</v>
      </c>
      <c r="C148" s="0" t="s">
        <v>183</v>
      </c>
      <c r="D148" s="0" t="n">
        <v>700</v>
      </c>
      <c r="E148" s="6" t="n">
        <v>1</v>
      </c>
      <c r="F148" s="6" t="n">
        <v>0.994541953757777</v>
      </c>
      <c r="G148" s="6" t="n">
        <v>1</v>
      </c>
      <c r="H148" s="7" t="n">
        <v>1.4115</v>
      </c>
      <c r="I148" s="7" t="n">
        <v>2.642</v>
      </c>
      <c r="J148" s="6" t="n">
        <v>0.995714285714286</v>
      </c>
    </row>
    <row r="149" customFormat="false" ht="15" hidden="false" customHeight="false" outlineLevel="0" collapsed="false">
      <c r="A149" s="0" t="s">
        <v>63</v>
      </c>
      <c r="B149" s="0" t="s">
        <v>228</v>
      </c>
      <c r="C149" s="0" t="s">
        <v>184</v>
      </c>
      <c r="D149" s="0" t="n">
        <v>2100</v>
      </c>
      <c r="E149" s="6" t="n">
        <v>0.99952380952381</v>
      </c>
      <c r="F149" s="6" t="n">
        <v>0.997307427200723</v>
      </c>
      <c r="G149" s="6" t="n">
        <v>0.999915937904331</v>
      </c>
      <c r="H149" s="7" t="n">
        <v>1.051</v>
      </c>
      <c r="I149" s="7" t="n">
        <v>2.685</v>
      </c>
      <c r="J149" s="6" t="n">
        <v>0.997141495950453</v>
      </c>
    </row>
    <row r="150" customFormat="false" ht="15" hidden="false" customHeight="false" outlineLevel="0" collapsed="false">
      <c r="A150" s="0" t="s">
        <v>63</v>
      </c>
      <c r="B150" s="0" t="s">
        <v>229</v>
      </c>
      <c r="C150" s="0" t="s">
        <v>181</v>
      </c>
      <c r="D150" s="0" t="n">
        <v>700</v>
      </c>
      <c r="E150" s="6" t="n">
        <v>0.997142857142857</v>
      </c>
      <c r="F150" s="6" t="n">
        <v>0.989642722089369</v>
      </c>
      <c r="G150" s="6" t="n">
        <v>0.999216134789793</v>
      </c>
      <c r="H150" s="7" t="n">
        <v>0.622</v>
      </c>
      <c r="I150" s="7" t="n">
        <v>1.919</v>
      </c>
      <c r="J150" s="6" t="n">
        <v>0.951289398280802</v>
      </c>
    </row>
    <row r="151" customFormat="false" ht="15" hidden="false" customHeight="false" outlineLevel="0" collapsed="false">
      <c r="A151" s="0" t="s">
        <v>63</v>
      </c>
      <c r="B151" s="0" t="s">
        <v>229</v>
      </c>
      <c r="C151" s="0" t="s">
        <v>182</v>
      </c>
      <c r="D151" s="0" t="n">
        <v>700</v>
      </c>
      <c r="E151" s="6" t="n">
        <v>0.995714285714286</v>
      </c>
      <c r="F151" s="6" t="n">
        <v>0.987475859383073</v>
      </c>
      <c r="G151" s="6" t="n">
        <v>0.99854144905678</v>
      </c>
      <c r="H151" s="7" t="n">
        <v>1.071</v>
      </c>
      <c r="I151" s="7" t="n">
        <v>2.927</v>
      </c>
      <c r="J151" s="6" t="n">
        <v>0.945480631276901</v>
      </c>
    </row>
    <row r="152" customFormat="false" ht="15" hidden="false" customHeight="false" outlineLevel="0" collapsed="false">
      <c r="A152" s="0" t="s">
        <v>63</v>
      </c>
      <c r="B152" s="0" t="s">
        <v>229</v>
      </c>
      <c r="C152" s="0" t="s">
        <v>183</v>
      </c>
      <c r="D152" s="0" t="n">
        <v>700</v>
      </c>
      <c r="E152" s="6" t="n">
        <v>0.997142857142857</v>
      </c>
      <c r="F152" s="6" t="n">
        <v>0.989642722089369</v>
      </c>
      <c r="G152" s="6" t="n">
        <v>0.999216134789793</v>
      </c>
      <c r="H152" s="7" t="n">
        <v>1.571</v>
      </c>
      <c r="I152" s="7" t="n">
        <v>2.991</v>
      </c>
      <c r="J152" s="6" t="n">
        <v>0.946991404011461</v>
      </c>
    </row>
    <row r="153" customFormat="false" ht="15" hidden="false" customHeight="false" outlineLevel="0" collapsed="false">
      <c r="A153" s="0" t="s">
        <v>63</v>
      </c>
      <c r="B153" s="0" t="s">
        <v>229</v>
      </c>
      <c r="C153" s="0" t="s">
        <v>184</v>
      </c>
      <c r="D153" s="0" t="n">
        <v>2100</v>
      </c>
      <c r="E153" s="6" t="n">
        <v>0.996666666666667</v>
      </c>
      <c r="F153" s="6" t="n">
        <v>0.993135096851519</v>
      </c>
      <c r="G153" s="6" t="n">
        <v>0.99838441678487</v>
      </c>
      <c r="H153" s="7" t="n">
        <v>1.209</v>
      </c>
      <c r="I153" s="7" t="n">
        <v>2.729</v>
      </c>
      <c r="J153" s="6" t="n">
        <v>0.947921643573818</v>
      </c>
    </row>
    <row r="154" customFormat="false" ht="15" hidden="false" customHeight="false" outlineLevel="0" collapsed="false">
      <c r="A154" s="0" t="s">
        <v>63</v>
      </c>
      <c r="B154" s="0" t="s">
        <v>230</v>
      </c>
      <c r="C154" s="0" t="s">
        <v>181</v>
      </c>
      <c r="D154" s="0" t="n">
        <v>700</v>
      </c>
      <c r="E154" s="6" t="n">
        <v>1</v>
      </c>
      <c r="F154" s="6" t="n">
        <v>0.994541953757777</v>
      </c>
      <c r="G154" s="6" t="n">
        <v>1</v>
      </c>
      <c r="H154" s="7" t="n">
        <v>0.567</v>
      </c>
      <c r="I154" s="7" t="n">
        <v>1.127</v>
      </c>
      <c r="J154" s="6" t="n">
        <v>0.995714285714286</v>
      </c>
    </row>
    <row r="155" customFormat="false" ht="15" hidden="false" customHeight="false" outlineLevel="0" collapsed="false">
      <c r="A155" s="0" t="s">
        <v>63</v>
      </c>
      <c r="B155" s="0" t="s">
        <v>230</v>
      </c>
      <c r="C155" s="0" t="s">
        <v>182</v>
      </c>
      <c r="D155" s="0" t="n">
        <v>700</v>
      </c>
      <c r="E155" s="6" t="n">
        <v>1</v>
      </c>
      <c r="F155" s="6" t="n">
        <v>0.994541953757777</v>
      </c>
      <c r="G155" s="6" t="n">
        <v>1</v>
      </c>
      <c r="H155" s="7" t="n">
        <v>0.9915</v>
      </c>
      <c r="I155" s="7" t="n">
        <v>1.724</v>
      </c>
      <c r="J155" s="6" t="n">
        <v>0.995714285714286</v>
      </c>
    </row>
    <row r="156" customFormat="false" ht="15" hidden="false" customHeight="false" outlineLevel="0" collapsed="false">
      <c r="A156" s="0" t="s">
        <v>63</v>
      </c>
      <c r="B156" s="0" t="s">
        <v>230</v>
      </c>
      <c r="C156" s="0" t="s">
        <v>183</v>
      </c>
      <c r="D156" s="0" t="n">
        <v>700</v>
      </c>
      <c r="E156" s="6" t="n">
        <v>0.995714285714286</v>
      </c>
      <c r="F156" s="6" t="n">
        <v>0.987475859383073</v>
      </c>
      <c r="G156" s="6" t="n">
        <v>0.99854144905678</v>
      </c>
      <c r="H156" s="7" t="n">
        <v>1.489</v>
      </c>
      <c r="I156" s="7" t="n">
        <v>1.993</v>
      </c>
      <c r="J156" s="6" t="n">
        <v>0.995695839311334</v>
      </c>
    </row>
    <row r="157" customFormat="false" ht="15" hidden="false" customHeight="false" outlineLevel="0" collapsed="false">
      <c r="A157" s="0" t="s">
        <v>63</v>
      </c>
      <c r="B157" s="0" t="s">
        <v>230</v>
      </c>
      <c r="C157" s="0" t="s">
        <v>184</v>
      </c>
      <c r="D157" s="0" t="n">
        <v>2100</v>
      </c>
      <c r="E157" s="6" t="n">
        <v>0.998571428571429</v>
      </c>
      <c r="F157" s="6" t="n">
        <v>0.995808031986912</v>
      </c>
      <c r="G157" s="6" t="n">
        <v>0.999514049295253</v>
      </c>
      <c r="H157" s="7" t="n">
        <v>1.042</v>
      </c>
      <c r="I157" s="7" t="n">
        <v>1.88</v>
      </c>
      <c r="J157" s="6" t="n">
        <v>0.995708154506438</v>
      </c>
    </row>
    <row r="158" customFormat="false" ht="15" hidden="false" customHeight="false" outlineLevel="0" collapsed="false">
      <c r="A158" s="0" t="s">
        <v>63</v>
      </c>
      <c r="B158" s="0" t="s">
        <v>231</v>
      </c>
      <c r="C158" s="0" t="s">
        <v>181</v>
      </c>
      <c r="D158" s="0" t="n">
        <v>700</v>
      </c>
      <c r="E158" s="6" t="n">
        <v>1</v>
      </c>
      <c r="F158" s="6" t="n">
        <v>0.994541953757777</v>
      </c>
      <c r="G158" s="6" t="n">
        <v>1</v>
      </c>
      <c r="H158" s="7" t="n">
        <v>0.596</v>
      </c>
      <c r="I158" s="7" t="n">
        <v>1.521</v>
      </c>
      <c r="J158" s="6" t="n">
        <v>0.967142857142857</v>
      </c>
    </row>
    <row r="159" customFormat="false" ht="15" hidden="false" customHeight="false" outlineLevel="0" collapsed="false">
      <c r="A159" s="0" t="s">
        <v>63</v>
      </c>
      <c r="B159" s="0" t="s">
        <v>231</v>
      </c>
      <c r="C159" s="0" t="s">
        <v>182</v>
      </c>
      <c r="D159" s="0" t="n">
        <v>700</v>
      </c>
      <c r="E159" s="6" t="n">
        <v>0.995714285714286</v>
      </c>
      <c r="F159" s="6" t="n">
        <v>0.987475859383073</v>
      </c>
      <c r="G159" s="6" t="n">
        <v>0.99854144905678</v>
      </c>
      <c r="H159" s="7" t="n">
        <v>1.033</v>
      </c>
      <c r="I159" s="7" t="n">
        <v>2.311</v>
      </c>
      <c r="J159" s="6" t="n">
        <v>0.977044476327116</v>
      </c>
    </row>
    <row r="160" customFormat="false" ht="15" hidden="false" customHeight="false" outlineLevel="0" collapsed="false">
      <c r="A160" s="0" t="s">
        <v>63</v>
      </c>
      <c r="B160" s="0" t="s">
        <v>231</v>
      </c>
      <c r="C160" s="0" t="s">
        <v>183</v>
      </c>
      <c r="D160" s="0" t="n">
        <v>700</v>
      </c>
      <c r="E160" s="6" t="n">
        <v>0.994285714285714</v>
      </c>
      <c r="F160" s="6" t="n">
        <v>0.985400075576777</v>
      </c>
      <c r="G160" s="6" t="n">
        <v>0.997775684423769</v>
      </c>
      <c r="H160" s="7" t="n">
        <v>1.573</v>
      </c>
      <c r="I160" s="7" t="n">
        <v>2.778</v>
      </c>
      <c r="J160" s="6" t="n">
        <v>0.961206896551724</v>
      </c>
    </row>
    <row r="161" customFormat="false" ht="15" hidden="false" customHeight="false" outlineLevel="0" collapsed="false">
      <c r="A161" s="0" t="s">
        <v>63</v>
      </c>
      <c r="B161" s="0" t="s">
        <v>231</v>
      </c>
      <c r="C161" s="0" t="s">
        <v>184</v>
      </c>
      <c r="D161" s="0" t="n">
        <v>2100</v>
      </c>
      <c r="E161" s="6" t="n">
        <v>0.996666666666667</v>
      </c>
      <c r="F161" s="6" t="n">
        <v>0.993135096851519</v>
      </c>
      <c r="G161" s="6" t="n">
        <v>0.99838441678487</v>
      </c>
      <c r="H161" s="7" t="n">
        <v>1.159</v>
      </c>
      <c r="I161" s="7" t="n">
        <v>2.326</v>
      </c>
      <c r="J161" s="6" t="n">
        <v>0.968466316292403</v>
      </c>
    </row>
    <row r="162" customFormat="false" ht="15" hidden="false" customHeight="false" outlineLevel="0" collapsed="false">
      <c r="A162" s="0" t="s">
        <v>63</v>
      </c>
      <c r="B162" s="0" t="s">
        <v>232</v>
      </c>
      <c r="C162" s="0" t="s">
        <v>181</v>
      </c>
      <c r="D162" s="0" t="n">
        <v>700</v>
      </c>
      <c r="E162" s="6" t="n">
        <v>1</v>
      </c>
      <c r="F162" s="6" t="n">
        <v>0.994541953757777</v>
      </c>
      <c r="G162" s="6" t="n">
        <v>1</v>
      </c>
      <c r="H162" s="7" t="n">
        <v>0.594</v>
      </c>
      <c r="I162" s="7" t="n">
        <v>1.278</v>
      </c>
      <c r="J162" s="6" t="n">
        <v>0.998571428571429</v>
      </c>
    </row>
    <row r="163" customFormat="false" ht="15" hidden="false" customHeight="false" outlineLevel="0" collapsed="false">
      <c r="A163" s="0" t="s">
        <v>63</v>
      </c>
      <c r="B163" s="0" t="s">
        <v>232</v>
      </c>
      <c r="C163" s="0" t="s">
        <v>182</v>
      </c>
      <c r="D163" s="0" t="n">
        <v>700</v>
      </c>
      <c r="E163" s="6" t="n">
        <v>1</v>
      </c>
      <c r="F163" s="6" t="n">
        <v>0.994541953757777</v>
      </c>
      <c r="G163" s="6" t="n">
        <v>1</v>
      </c>
      <c r="H163" s="7" t="n">
        <v>1.0255</v>
      </c>
      <c r="I163" s="7" t="n">
        <v>1.672</v>
      </c>
      <c r="J163" s="6" t="n">
        <v>0.997142857142857</v>
      </c>
    </row>
    <row r="164" customFormat="false" ht="15" hidden="false" customHeight="false" outlineLevel="0" collapsed="false">
      <c r="A164" s="0" t="s">
        <v>63</v>
      </c>
      <c r="B164" s="0" t="s">
        <v>232</v>
      </c>
      <c r="C164" s="0" t="s">
        <v>183</v>
      </c>
      <c r="D164" s="0" t="n">
        <v>700</v>
      </c>
      <c r="E164" s="6" t="n">
        <v>0.997142857142857</v>
      </c>
      <c r="F164" s="6" t="n">
        <v>0.989642722089369</v>
      </c>
      <c r="G164" s="6" t="n">
        <v>0.999216134789793</v>
      </c>
      <c r="H164" s="7" t="n">
        <v>1.5635</v>
      </c>
      <c r="I164" s="7" t="n">
        <v>2.382</v>
      </c>
      <c r="J164" s="6" t="n">
        <v>0.998567335243553</v>
      </c>
    </row>
    <row r="165" customFormat="false" ht="15" hidden="false" customHeight="false" outlineLevel="0" collapsed="false">
      <c r="A165" s="0" t="s">
        <v>63</v>
      </c>
      <c r="B165" s="0" t="s">
        <v>232</v>
      </c>
      <c r="C165" s="0" t="s">
        <v>184</v>
      </c>
      <c r="D165" s="0" t="n">
        <v>2100</v>
      </c>
      <c r="E165" s="6" t="n">
        <v>0.999047619047619</v>
      </c>
      <c r="F165" s="6" t="n">
        <v>0.996533933798472</v>
      </c>
      <c r="G165" s="6" t="n">
        <v>0.999738789395138</v>
      </c>
      <c r="H165" s="7" t="n">
        <v>1.109</v>
      </c>
      <c r="I165" s="7" t="n">
        <v>1.989</v>
      </c>
      <c r="J165" s="6" t="n">
        <v>0.998093422306959</v>
      </c>
    </row>
    <row r="166" customFormat="false" ht="15" hidden="false" customHeight="false" outlineLevel="0" collapsed="false">
      <c r="A166" s="0" t="s">
        <v>63</v>
      </c>
      <c r="B166" s="0" t="s">
        <v>233</v>
      </c>
      <c r="C166" s="0" t="s">
        <v>181</v>
      </c>
      <c r="D166" s="0" t="n">
        <v>700</v>
      </c>
      <c r="E166" s="6" t="n">
        <v>0.997142857142857</v>
      </c>
      <c r="F166" s="6" t="n">
        <v>0.989642722089369</v>
      </c>
      <c r="G166" s="6" t="n">
        <v>0.999216134789793</v>
      </c>
      <c r="H166" s="7" t="n">
        <v>0.7455</v>
      </c>
      <c r="I166" s="7" t="n">
        <v>1.877</v>
      </c>
      <c r="J166" s="6" t="n">
        <v>1</v>
      </c>
    </row>
    <row r="167" customFormat="false" ht="15" hidden="false" customHeight="false" outlineLevel="0" collapsed="false">
      <c r="A167" s="0" t="s">
        <v>63</v>
      </c>
      <c r="B167" s="0" t="s">
        <v>233</v>
      </c>
      <c r="C167" s="0" t="s">
        <v>182</v>
      </c>
      <c r="D167" s="0" t="n">
        <v>700</v>
      </c>
      <c r="E167" s="6" t="n">
        <v>0.998571428571429</v>
      </c>
      <c r="F167" s="6" t="n">
        <v>0.991952621292185</v>
      </c>
      <c r="G167" s="6" t="n">
        <v>0.999747784026285</v>
      </c>
      <c r="H167" s="7" t="n">
        <v>1.184</v>
      </c>
      <c r="I167" s="7" t="n">
        <v>2.358</v>
      </c>
      <c r="J167" s="6" t="n">
        <v>0.995708154506438</v>
      </c>
    </row>
    <row r="168" customFormat="false" ht="15" hidden="false" customHeight="false" outlineLevel="0" collapsed="false">
      <c r="A168" s="0" t="s">
        <v>63</v>
      </c>
      <c r="B168" s="0" t="s">
        <v>233</v>
      </c>
      <c r="C168" s="0" t="s">
        <v>183</v>
      </c>
      <c r="D168" s="0" t="n">
        <v>700</v>
      </c>
      <c r="E168" s="6" t="n">
        <v>0.994285714285714</v>
      </c>
      <c r="F168" s="6" t="n">
        <v>0.985400075576777</v>
      </c>
      <c r="G168" s="6" t="n">
        <v>0.997775684423769</v>
      </c>
      <c r="H168" s="7" t="n">
        <v>1.7275</v>
      </c>
      <c r="I168" s="7" t="n">
        <v>3.06</v>
      </c>
      <c r="J168" s="6" t="n">
        <v>0.995689655172414</v>
      </c>
    </row>
    <row r="169" customFormat="false" ht="15" hidden="false" customHeight="false" outlineLevel="0" collapsed="false">
      <c r="A169" s="0" t="s">
        <v>63</v>
      </c>
      <c r="B169" s="0" t="s">
        <v>233</v>
      </c>
      <c r="C169" s="0" t="s">
        <v>184</v>
      </c>
      <c r="D169" s="0" t="n">
        <v>2100</v>
      </c>
      <c r="E169" s="6" t="n">
        <v>0.996666666666667</v>
      </c>
      <c r="F169" s="6" t="n">
        <v>0.993135096851519</v>
      </c>
      <c r="G169" s="6" t="n">
        <v>0.99838441678487</v>
      </c>
      <c r="H169" s="7" t="n">
        <v>1.376</v>
      </c>
      <c r="I169" s="7" t="n">
        <v>2.577</v>
      </c>
      <c r="J169" s="6" t="n">
        <v>0.997133301481128</v>
      </c>
    </row>
    <row r="170" customFormat="false" ht="15" hidden="false" customHeight="false" outlineLevel="0" collapsed="false">
      <c r="A170" s="0" t="s">
        <v>63</v>
      </c>
      <c r="B170" s="0" t="s">
        <v>234</v>
      </c>
      <c r="C170" s="0" t="s">
        <v>181</v>
      </c>
      <c r="D170" s="0" t="n">
        <v>700</v>
      </c>
      <c r="E170" s="6" t="n">
        <v>0.998571428571429</v>
      </c>
      <c r="F170" s="6" t="n">
        <v>0.991952621292185</v>
      </c>
      <c r="G170" s="6" t="n">
        <v>0.999747784026285</v>
      </c>
      <c r="H170" s="7" t="n">
        <v>1.718</v>
      </c>
      <c r="I170" s="7" t="n">
        <v>3.749</v>
      </c>
      <c r="J170" s="6" t="n">
        <v>0.995708154506438</v>
      </c>
    </row>
    <row r="171" customFormat="false" ht="15" hidden="false" customHeight="false" outlineLevel="0" collapsed="false">
      <c r="A171" s="0" t="s">
        <v>63</v>
      </c>
      <c r="B171" s="0" t="s">
        <v>234</v>
      </c>
      <c r="C171" s="0" t="s">
        <v>182</v>
      </c>
      <c r="D171" s="0" t="n">
        <v>700</v>
      </c>
      <c r="E171" s="6" t="n">
        <v>0.995714285714286</v>
      </c>
      <c r="F171" s="6" t="n">
        <v>0.987475859383073</v>
      </c>
      <c r="G171" s="6" t="n">
        <v>0.99854144905678</v>
      </c>
      <c r="H171" s="7" t="n">
        <v>2.166</v>
      </c>
      <c r="I171" s="7" t="n">
        <v>3.888</v>
      </c>
      <c r="J171" s="6" t="n">
        <v>0.99713055954089</v>
      </c>
    </row>
    <row r="172" customFormat="false" ht="15" hidden="false" customHeight="false" outlineLevel="0" collapsed="false">
      <c r="A172" s="0" t="s">
        <v>63</v>
      </c>
      <c r="B172" s="0" t="s">
        <v>234</v>
      </c>
      <c r="C172" s="0" t="s">
        <v>183</v>
      </c>
      <c r="D172" s="0" t="n">
        <v>700</v>
      </c>
      <c r="E172" s="6" t="n">
        <v>0.997142857142857</v>
      </c>
      <c r="F172" s="6" t="n">
        <v>0.989642722089369</v>
      </c>
      <c r="G172" s="6" t="n">
        <v>0.999216134789793</v>
      </c>
      <c r="H172" s="7" t="n">
        <v>2.726</v>
      </c>
      <c r="I172" s="7" t="n">
        <v>4.573</v>
      </c>
      <c r="J172" s="6" t="n">
        <v>0.998567335243553</v>
      </c>
    </row>
    <row r="173" customFormat="false" ht="15" hidden="false" customHeight="false" outlineLevel="0" collapsed="false">
      <c r="A173" s="0" t="s">
        <v>63</v>
      </c>
      <c r="B173" s="0" t="s">
        <v>234</v>
      </c>
      <c r="C173" s="0" t="s">
        <v>184</v>
      </c>
      <c r="D173" s="0" t="n">
        <v>2100</v>
      </c>
      <c r="E173" s="6" t="n">
        <v>0.997142857142857</v>
      </c>
      <c r="F173" s="6" t="n">
        <v>0.993780229483795</v>
      </c>
      <c r="G173" s="6" t="n">
        <v>0.998689926064037</v>
      </c>
      <c r="H173" s="7" t="n">
        <v>2.3035</v>
      </c>
      <c r="I173" s="7" t="n">
        <v>4.101</v>
      </c>
      <c r="J173" s="6" t="n">
        <v>0.997134670487106</v>
      </c>
    </row>
    <row r="174" customFormat="false" ht="15" hidden="false" customHeight="false" outlineLevel="0" collapsed="false">
      <c r="A174" s="0" t="s">
        <v>63</v>
      </c>
      <c r="B174" s="0" t="s">
        <v>235</v>
      </c>
      <c r="C174" s="0" t="s">
        <v>181</v>
      </c>
      <c r="D174" s="0" t="n">
        <v>700</v>
      </c>
      <c r="E174" s="6" t="n">
        <v>1</v>
      </c>
      <c r="F174" s="6" t="n">
        <v>0.994541953757777</v>
      </c>
      <c r="G174" s="6" t="n">
        <v>1</v>
      </c>
      <c r="H174" s="7" t="n">
        <v>0.604</v>
      </c>
      <c r="I174" s="7" t="n">
        <v>1.44</v>
      </c>
      <c r="J174" s="6" t="n">
        <v>0.981428571428571</v>
      </c>
    </row>
    <row r="175" customFormat="false" ht="15" hidden="false" customHeight="false" outlineLevel="0" collapsed="false">
      <c r="A175" s="0" t="s">
        <v>63</v>
      </c>
      <c r="B175" s="0" t="s">
        <v>235</v>
      </c>
      <c r="C175" s="0" t="s">
        <v>182</v>
      </c>
      <c r="D175" s="0" t="n">
        <v>700</v>
      </c>
      <c r="E175" s="6" t="n">
        <v>1</v>
      </c>
      <c r="F175" s="6" t="n">
        <v>0.994541953757777</v>
      </c>
      <c r="G175" s="6" t="n">
        <v>1</v>
      </c>
      <c r="H175" s="7" t="n">
        <v>1.0445</v>
      </c>
      <c r="I175" s="7" t="n">
        <v>2.236</v>
      </c>
      <c r="J175" s="6" t="n">
        <v>0.977142857142857</v>
      </c>
    </row>
    <row r="176" customFormat="false" ht="15" hidden="false" customHeight="false" outlineLevel="0" collapsed="false">
      <c r="A176" s="0" t="s">
        <v>63</v>
      </c>
      <c r="B176" s="0" t="s">
        <v>235</v>
      </c>
      <c r="C176" s="0" t="s">
        <v>183</v>
      </c>
      <c r="D176" s="0" t="n">
        <v>700</v>
      </c>
      <c r="E176" s="6" t="n">
        <v>0.998571428571429</v>
      </c>
      <c r="F176" s="6" t="n">
        <v>0.991952621292185</v>
      </c>
      <c r="G176" s="6" t="n">
        <v>0.999747784026285</v>
      </c>
      <c r="H176" s="7" t="n">
        <v>1.561</v>
      </c>
      <c r="I176" s="7" t="n">
        <v>3.017</v>
      </c>
      <c r="J176" s="6" t="n">
        <v>0.978540772532189</v>
      </c>
    </row>
    <row r="177" customFormat="false" ht="15" hidden="false" customHeight="false" outlineLevel="0" collapsed="false">
      <c r="A177" s="0" t="s">
        <v>63</v>
      </c>
      <c r="B177" s="0" t="s">
        <v>235</v>
      </c>
      <c r="C177" s="0" t="s">
        <v>184</v>
      </c>
      <c r="D177" s="0" t="n">
        <v>2100</v>
      </c>
      <c r="E177" s="6" t="n">
        <v>0.99952380952381</v>
      </c>
      <c r="F177" s="6" t="n">
        <v>0.997307427200723</v>
      </c>
      <c r="G177" s="6" t="n">
        <v>0.999915937904331</v>
      </c>
      <c r="H177" s="7" t="n">
        <v>1.162</v>
      </c>
      <c r="I177" s="7" t="n">
        <v>2.315</v>
      </c>
      <c r="J177" s="6" t="n">
        <v>0.979037636969986</v>
      </c>
    </row>
    <row r="178" customFormat="false" ht="15" hidden="false" customHeight="false" outlineLevel="0" collapsed="false">
      <c r="A178" s="0" t="s">
        <v>63</v>
      </c>
      <c r="B178" s="0" t="s">
        <v>236</v>
      </c>
      <c r="C178" s="0" t="s">
        <v>181</v>
      </c>
      <c r="D178" s="0" t="n">
        <v>700</v>
      </c>
      <c r="E178" s="6" t="n">
        <v>0.997142857142857</v>
      </c>
      <c r="F178" s="6" t="n">
        <v>0.989642722089369</v>
      </c>
      <c r="G178" s="6" t="n">
        <v>0.999216134789793</v>
      </c>
      <c r="H178" s="7" t="n">
        <v>0.577</v>
      </c>
      <c r="I178" s="7" t="n">
        <v>1.283</v>
      </c>
      <c r="J178" s="6" t="n">
        <v>0.991404011461318</v>
      </c>
    </row>
    <row r="179" customFormat="false" ht="15" hidden="false" customHeight="false" outlineLevel="0" collapsed="false">
      <c r="A179" s="0" t="s">
        <v>63</v>
      </c>
      <c r="B179" s="0" t="s">
        <v>236</v>
      </c>
      <c r="C179" s="0" t="s">
        <v>182</v>
      </c>
      <c r="D179" s="0" t="n">
        <v>700</v>
      </c>
      <c r="E179" s="6" t="n">
        <v>0.99</v>
      </c>
      <c r="F179" s="6" t="n">
        <v>0.979503326116614</v>
      </c>
      <c r="G179" s="6" t="n">
        <v>0.995147788566008</v>
      </c>
      <c r="H179" s="7" t="n">
        <v>1.014</v>
      </c>
      <c r="I179" s="7" t="n">
        <v>1.607</v>
      </c>
      <c r="J179" s="6" t="n">
        <v>0.994227994227994</v>
      </c>
    </row>
    <row r="180" customFormat="false" ht="15" hidden="false" customHeight="false" outlineLevel="0" collapsed="false">
      <c r="A180" s="0" t="s">
        <v>63</v>
      </c>
      <c r="B180" s="0" t="s">
        <v>236</v>
      </c>
      <c r="C180" s="0" t="s">
        <v>183</v>
      </c>
      <c r="D180" s="0" t="n">
        <v>700</v>
      </c>
      <c r="E180" s="6" t="n">
        <v>0.987142857142857</v>
      </c>
      <c r="F180" s="6" t="n">
        <v>0.97574661193468</v>
      </c>
      <c r="G180" s="6" t="n">
        <v>0.993221405869326</v>
      </c>
      <c r="H180" s="7" t="n">
        <v>1.514</v>
      </c>
      <c r="I180" s="7" t="n">
        <v>2.205</v>
      </c>
      <c r="J180" s="6" t="n">
        <v>0.994211287988423</v>
      </c>
    </row>
    <row r="181" customFormat="false" ht="15" hidden="false" customHeight="false" outlineLevel="0" collapsed="false">
      <c r="A181" s="0" t="s">
        <v>63</v>
      </c>
      <c r="B181" s="0" t="s">
        <v>236</v>
      </c>
      <c r="C181" s="0" t="s">
        <v>184</v>
      </c>
      <c r="D181" s="0" t="n">
        <v>2100</v>
      </c>
      <c r="E181" s="6" t="n">
        <v>0.991428571428571</v>
      </c>
      <c r="F181" s="6" t="n">
        <v>0.986491122084587</v>
      </c>
      <c r="G181" s="6" t="n">
        <v>0.994571330525914</v>
      </c>
      <c r="H181" s="7" t="n">
        <v>1.057</v>
      </c>
      <c r="I181" s="7" t="n">
        <v>1.83</v>
      </c>
      <c r="J181" s="6" t="n">
        <v>0.993275696445725</v>
      </c>
    </row>
    <row r="182" customFormat="false" ht="15" hidden="false" customHeight="false" outlineLevel="0" collapsed="false">
      <c r="A182" s="0" t="s">
        <v>63</v>
      </c>
      <c r="B182" s="0" t="s">
        <v>237</v>
      </c>
      <c r="C182" s="0" t="s">
        <v>181</v>
      </c>
      <c r="D182" s="0" t="n">
        <v>700</v>
      </c>
      <c r="E182" s="6" t="n">
        <v>0.997142857142857</v>
      </c>
      <c r="F182" s="6" t="n">
        <v>0.989642722089369</v>
      </c>
      <c r="G182" s="6" t="n">
        <v>0.999216134789793</v>
      </c>
      <c r="H182" s="7" t="n">
        <v>1.741</v>
      </c>
      <c r="I182" s="7" t="n">
        <v>2.586</v>
      </c>
      <c r="J182" s="6" t="n">
        <v>0.995702005730659</v>
      </c>
    </row>
    <row r="183" customFormat="false" ht="15" hidden="false" customHeight="false" outlineLevel="0" collapsed="false">
      <c r="A183" s="0" t="s">
        <v>63</v>
      </c>
      <c r="B183" s="0" t="s">
        <v>237</v>
      </c>
      <c r="C183" s="0" t="s">
        <v>182</v>
      </c>
      <c r="D183" s="0" t="n">
        <v>700</v>
      </c>
      <c r="E183" s="6" t="n">
        <v>0.992857142857143</v>
      </c>
      <c r="F183" s="6" t="n">
        <v>0.983388914848421</v>
      </c>
      <c r="G183" s="6" t="n">
        <v>0.996945296712817</v>
      </c>
      <c r="H183" s="7" t="n">
        <v>2.163</v>
      </c>
      <c r="I183" s="7" t="n">
        <v>4.103</v>
      </c>
      <c r="J183" s="6" t="n">
        <v>0.99136690647482</v>
      </c>
    </row>
    <row r="184" customFormat="false" ht="15" hidden="false" customHeight="false" outlineLevel="0" collapsed="false">
      <c r="A184" s="0" t="s">
        <v>63</v>
      </c>
      <c r="B184" s="0" t="s">
        <v>237</v>
      </c>
      <c r="C184" s="0" t="s">
        <v>183</v>
      </c>
      <c r="D184" s="0" t="n">
        <v>700</v>
      </c>
      <c r="E184" s="6" t="n">
        <v>0.997142857142857</v>
      </c>
      <c r="F184" s="6" t="n">
        <v>0.989642722089369</v>
      </c>
      <c r="G184" s="6" t="n">
        <v>0.999216134789793</v>
      </c>
      <c r="H184" s="7" t="n">
        <v>2.662</v>
      </c>
      <c r="I184" s="7" t="n">
        <v>3.548</v>
      </c>
      <c r="J184" s="6" t="n">
        <v>0.992836676217765</v>
      </c>
    </row>
    <row r="185" customFormat="false" ht="15" hidden="false" customHeight="false" outlineLevel="0" collapsed="false">
      <c r="A185" s="0" t="s">
        <v>63</v>
      </c>
      <c r="B185" s="0" t="s">
        <v>237</v>
      </c>
      <c r="C185" s="0" t="s">
        <v>184</v>
      </c>
      <c r="D185" s="0" t="n">
        <v>2100</v>
      </c>
      <c r="E185" s="6" t="n">
        <v>0.995714285714286</v>
      </c>
      <c r="F185" s="6" t="n">
        <v>0.991874582617067</v>
      </c>
      <c r="G185" s="6" t="n">
        <v>0.997743647196432</v>
      </c>
      <c r="H185" s="7" t="n">
        <v>2.155</v>
      </c>
      <c r="I185" s="7" t="n">
        <v>3.373</v>
      </c>
      <c r="J185" s="6" t="n">
        <v>0.993304638928742</v>
      </c>
    </row>
    <row r="186" customFormat="false" ht="15" hidden="false" customHeight="false" outlineLevel="0" collapsed="false">
      <c r="A186" s="0" t="s">
        <v>63</v>
      </c>
      <c r="B186" s="0" t="s">
        <v>238</v>
      </c>
      <c r="C186" s="0" t="s">
        <v>181</v>
      </c>
      <c r="D186" s="0" t="n">
        <v>700</v>
      </c>
      <c r="E186" s="6" t="n">
        <v>1</v>
      </c>
      <c r="F186" s="6" t="n">
        <v>0.994541953757777</v>
      </c>
      <c r="G186" s="6" t="n">
        <v>1</v>
      </c>
      <c r="H186" s="7" t="n">
        <v>1.3675</v>
      </c>
      <c r="I186" s="7" t="n">
        <v>2.534</v>
      </c>
      <c r="J186" s="6" t="n">
        <v>0.994285714285714</v>
      </c>
    </row>
    <row r="187" customFormat="false" ht="15" hidden="false" customHeight="false" outlineLevel="0" collapsed="false">
      <c r="A187" s="0" t="s">
        <v>63</v>
      </c>
      <c r="B187" s="0" t="s">
        <v>238</v>
      </c>
      <c r="C187" s="0" t="s">
        <v>182</v>
      </c>
      <c r="D187" s="0" t="n">
        <v>700</v>
      </c>
      <c r="E187" s="6" t="n">
        <v>0.995714285714286</v>
      </c>
      <c r="F187" s="6" t="n">
        <v>0.987475859383073</v>
      </c>
      <c r="G187" s="6" t="n">
        <v>0.99854144905678</v>
      </c>
      <c r="H187" s="7" t="n">
        <v>1.781</v>
      </c>
      <c r="I187" s="7" t="n">
        <v>3.215</v>
      </c>
      <c r="J187" s="6" t="n">
        <v>0.998565279770445</v>
      </c>
    </row>
    <row r="188" customFormat="false" ht="15" hidden="false" customHeight="false" outlineLevel="0" collapsed="false">
      <c r="A188" s="0" t="s">
        <v>63</v>
      </c>
      <c r="B188" s="0" t="s">
        <v>238</v>
      </c>
      <c r="C188" s="0" t="s">
        <v>183</v>
      </c>
      <c r="D188" s="0" t="n">
        <v>700</v>
      </c>
      <c r="E188" s="6" t="n">
        <v>0.997142857142857</v>
      </c>
      <c r="F188" s="6" t="n">
        <v>0.989642722089369</v>
      </c>
      <c r="G188" s="6" t="n">
        <v>0.999216134789793</v>
      </c>
      <c r="H188" s="7" t="n">
        <v>2.2965</v>
      </c>
      <c r="I188" s="7" t="n">
        <v>3.596</v>
      </c>
      <c r="J188" s="6" t="n">
        <v>0.995702005730659</v>
      </c>
    </row>
    <row r="189" customFormat="false" ht="15" hidden="false" customHeight="false" outlineLevel="0" collapsed="false">
      <c r="A189" s="0" t="s">
        <v>63</v>
      </c>
      <c r="B189" s="0" t="s">
        <v>238</v>
      </c>
      <c r="C189" s="0" t="s">
        <v>184</v>
      </c>
      <c r="D189" s="0" t="n">
        <v>2100</v>
      </c>
      <c r="E189" s="6" t="n">
        <v>0.997619047619048</v>
      </c>
      <c r="F189" s="6" t="n">
        <v>0.994438198537809</v>
      </c>
      <c r="G189" s="6" t="n">
        <v>0.998982598921468</v>
      </c>
      <c r="H189" s="7" t="n">
        <v>1.991</v>
      </c>
      <c r="I189" s="7" t="n">
        <v>3.189</v>
      </c>
      <c r="J189" s="6" t="n">
        <v>0.99618138424821</v>
      </c>
    </row>
    <row r="190" customFormat="false" ht="15" hidden="false" customHeight="false" outlineLevel="0" collapsed="false">
      <c r="A190" s="0" t="s">
        <v>63</v>
      </c>
      <c r="B190" s="0" t="s">
        <v>239</v>
      </c>
      <c r="C190" s="0" t="s">
        <v>181</v>
      </c>
      <c r="D190" s="0" t="n">
        <v>700</v>
      </c>
      <c r="E190" s="6" t="n">
        <v>0.998571428571429</v>
      </c>
      <c r="F190" s="6" t="n">
        <v>0.991952621292185</v>
      </c>
      <c r="G190" s="6" t="n">
        <v>0.999747784026285</v>
      </c>
      <c r="H190" s="7" t="n">
        <v>1.519</v>
      </c>
      <c r="I190" s="7" t="n">
        <v>3.672</v>
      </c>
      <c r="J190" s="6" t="n">
        <v>1</v>
      </c>
    </row>
    <row r="191" customFormat="false" ht="15" hidden="false" customHeight="false" outlineLevel="0" collapsed="false">
      <c r="A191" s="0" t="s">
        <v>63</v>
      </c>
      <c r="B191" s="0" t="s">
        <v>239</v>
      </c>
      <c r="C191" s="0" t="s">
        <v>182</v>
      </c>
      <c r="D191" s="0" t="n">
        <v>700</v>
      </c>
      <c r="E191" s="6" t="n">
        <v>0.998571428571429</v>
      </c>
      <c r="F191" s="6" t="n">
        <v>0.991952621292185</v>
      </c>
      <c r="G191" s="6" t="n">
        <v>0.999747784026285</v>
      </c>
      <c r="H191" s="7" t="n">
        <v>2.036</v>
      </c>
      <c r="I191" s="7" t="n">
        <v>4.271</v>
      </c>
      <c r="J191" s="6" t="n">
        <v>1</v>
      </c>
    </row>
    <row r="192" customFormat="false" ht="15" hidden="false" customHeight="false" outlineLevel="0" collapsed="false">
      <c r="A192" s="0" t="s">
        <v>63</v>
      </c>
      <c r="B192" s="0" t="s">
        <v>239</v>
      </c>
      <c r="C192" s="0" t="s">
        <v>183</v>
      </c>
      <c r="D192" s="0" t="n">
        <v>700</v>
      </c>
      <c r="E192" s="6" t="n">
        <v>0.991428571428571</v>
      </c>
      <c r="F192" s="6" t="n">
        <v>0.981426723313498</v>
      </c>
      <c r="G192" s="6" t="n">
        <v>0.996065939808432</v>
      </c>
      <c r="H192" s="7" t="n">
        <v>2.439</v>
      </c>
      <c r="I192" s="7" t="n">
        <v>4.766</v>
      </c>
      <c r="J192" s="6" t="n">
        <v>0.997118155619597</v>
      </c>
    </row>
    <row r="193" customFormat="false" ht="15" hidden="false" customHeight="false" outlineLevel="0" collapsed="false">
      <c r="A193" s="0" t="s">
        <v>63</v>
      </c>
      <c r="B193" s="0" t="s">
        <v>239</v>
      </c>
      <c r="C193" s="0" t="s">
        <v>184</v>
      </c>
      <c r="D193" s="0" t="n">
        <v>2100</v>
      </c>
      <c r="E193" s="6" t="n">
        <v>0.996190476190476</v>
      </c>
      <c r="F193" s="6" t="n">
        <v>0.99250045074196</v>
      </c>
      <c r="G193" s="6" t="n">
        <v>0.998068420982983</v>
      </c>
      <c r="H193" s="7" t="n">
        <v>2.0905</v>
      </c>
      <c r="I193" s="7" t="n">
        <v>4.436</v>
      </c>
      <c r="J193" s="6" t="n">
        <v>0.999043977055449</v>
      </c>
    </row>
    <row r="194" customFormat="false" ht="15" hidden="false" customHeight="false" outlineLevel="0" collapsed="false">
      <c r="A194" s="0" t="s">
        <v>77</v>
      </c>
      <c r="B194" s="0" t="s">
        <v>228</v>
      </c>
      <c r="C194" s="0" t="s">
        <v>181</v>
      </c>
      <c r="D194" s="0" t="n">
        <v>700</v>
      </c>
      <c r="E194" s="6" t="n">
        <v>1</v>
      </c>
      <c r="F194" s="6" t="n">
        <v>0.994541953757777</v>
      </c>
      <c r="G194" s="6" t="n">
        <v>1</v>
      </c>
      <c r="H194" s="7" t="n">
        <v>0.5735</v>
      </c>
      <c r="I194" s="7" t="n">
        <v>1.385</v>
      </c>
      <c r="J194" s="6" t="n">
        <v>1</v>
      </c>
    </row>
    <row r="195" customFormat="false" ht="15" hidden="false" customHeight="false" outlineLevel="0" collapsed="false">
      <c r="A195" s="0" t="s">
        <v>77</v>
      </c>
      <c r="B195" s="0" t="s">
        <v>228</v>
      </c>
      <c r="C195" s="0" t="s">
        <v>182</v>
      </c>
      <c r="D195" s="0" t="n">
        <v>700</v>
      </c>
      <c r="E195" s="6" t="n">
        <v>1</v>
      </c>
      <c r="F195" s="6" t="n">
        <v>0.994541953757777</v>
      </c>
      <c r="G195" s="6" t="n">
        <v>1</v>
      </c>
      <c r="H195" s="7" t="n">
        <v>0.857</v>
      </c>
      <c r="I195" s="7" t="n">
        <v>1.533</v>
      </c>
      <c r="J195" s="6" t="n">
        <v>0.997142857142857</v>
      </c>
    </row>
    <row r="196" customFormat="false" ht="15" hidden="false" customHeight="false" outlineLevel="0" collapsed="false">
      <c r="A196" s="0" t="s">
        <v>77</v>
      </c>
      <c r="B196" s="0" t="s">
        <v>228</v>
      </c>
      <c r="C196" s="0" t="s">
        <v>183</v>
      </c>
      <c r="D196" s="0" t="n">
        <v>700</v>
      </c>
      <c r="E196" s="6" t="n">
        <v>1</v>
      </c>
      <c r="F196" s="6" t="n">
        <v>0.994541953757777</v>
      </c>
      <c r="G196" s="6" t="n">
        <v>1</v>
      </c>
      <c r="H196" s="7" t="n">
        <v>1.4515</v>
      </c>
      <c r="I196" s="7" t="n">
        <v>1.956</v>
      </c>
      <c r="J196" s="6" t="n">
        <v>0.994285714285714</v>
      </c>
    </row>
    <row r="197" customFormat="false" ht="15" hidden="false" customHeight="false" outlineLevel="0" collapsed="false">
      <c r="A197" s="0" t="s">
        <v>77</v>
      </c>
      <c r="B197" s="0" t="s">
        <v>228</v>
      </c>
      <c r="C197" s="0" t="s">
        <v>184</v>
      </c>
      <c r="D197" s="0" t="n">
        <v>2100</v>
      </c>
      <c r="E197" s="6" t="n">
        <v>1</v>
      </c>
      <c r="F197" s="6" t="n">
        <v>0.998174007016498</v>
      </c>
      <c r="G197" s="6" t="n">
        <v>1</v>
      </c>
      <c r="H197" s="7" t="n">
        <v>0.971</v>
      </c>
      <c r="I197" s="7" t="n">
        <v>1.75</v>
      </c>
      <c r="J197" s="6" t="n">
        <v>0.997142857142857</v>
      </c>
    </row>
    <row r="198" customFormat="false" ht="15" hidden="false" customHeight="false" outlineLevel="0" collapsed="false">
      <c r="A198" s="0" t="s">
        <v>77</v>
      </c>
      <c r="B198" s="0" t="s">
        <v>229</v>
      </c>
      <c r="C198" s="0" t="s">
        <v>181</v>
      </c>
      <c r="D198" s="0" t="n">
        <v>700</v>
      </c>
      <c r="E198" s="6" t="n">
        <v>0.998571428571429</v>
      </c>
      <c r="F198" s="6" t="n">
        <v>0.991952621292185</v>
      </c>
      <c r="G198" s="6" t="n">
        <v>0.999747784026285</v>
      </c>
      <c r="H198" s="7" t="n">
        <v>0.721</v>
      </c>
      <c r="I198" s="7" t="n">
        <v>1.248</v>
      </c>
      <c r="J198" s="6" t="n">
        <v>1</v>
      </c>
    </row>
    <row r="199" customFormat="false" ht="15" hidden="false" customHeight="false" outlineLevel="0" collapsed="false">
      <c r="A199" s="0" t="s">
        <v>77</v>
      </c>
      <c r="B199" s="0" t="s">
        <v>229</v>
      </c>
      <c r="C199" s="0" t="s">
        <v>182</v>
      </c>
      <c r="D199" s="0" t="n">
        <v>700</v>
      </c>
      <c r="E199" s="6" t="n">
        <v>0.99</v>
      </c>
      <c r="F199" s="6" t="n">
        <v>0.979503326116614</v>
      </c>
      <c r="G199" s="6" t="n">
        <v>0.995147788566008</v>
      </c>
      <c r="H199" s="7" t="n">
        <v>0.452</v>
      </c>
      <c r="I199" s="7" t="n">
        <v>0.899</v>
      </c>
      <c r="J199" s="6" t="n">
        <v>1</v>
      </c>
    </row>
    <row r="200" customFormat="false" ht="15" hidden="false" customHeight="false" outlineLevel="0" collapsed="false">
      <c r="A200" s="0" t="s">
        <v>77</v>
      </c>
      <c r="B200" s="0" t="s">
        <v>229</v>
      </c>
      <c r="C200" s="0" t="s">
        <v>183</v>
      </c>
      <c r="D200" s="0" t="n">
        <v>700</v>
      </c>
      <c r="E200" s="6" t="n">
        <v>0.998571428571429</v>
      </c>
      <c r="F200" s="6" t="n">
        <v>0.991952621292185</v>
      </c>
      <c r="G200" s="6" t="n">
        <v>0.999747784026285</v>
      </c>
      <c r="H200" s="7" t="n">
        <v>1.007</v>
      </c>
      <c r="I200" s="7" t="n">
        <v>1.401</v>
      </c>
      <c r="J200" s="6" t="n">
        <v>0.998569384835479</v>
      </c>
    </row>
    <row r="201" customFormat="false" ht="15" hidden="false" customHeight="false" outlineLevel="0" collapsed="false">
      <c r="A201" s="0" t="s">
        <v>77</v>
      </c>
      <c r="B201" s="0" t="s">
        <v>229</v>
      </c>
      <c r="C201" s="0" t="s">
        <v>184</v>
      </c>
      <c r="D201" s="0" t="n">
        <v>2100</v>
      </c>
      <c r="E201" s="6" t="n">
        <v>0.995714285714286</v>
      </c>
      <c r="F201" s="6" t="n">
        <v>0.991874582617067</v>
      </c>
      <c r="G201" s="6" t="n">
        <v>0.997743647196432</v>
      </c>
      <c r="H201" s="7" t="n">
        <v>0.795</v>
      </c>
      <c r="I201" s="7" t="n">
        <v>1.292</v>
      </c>
      <c r="J201" s="6" t="n">
        <v>0.999521759923482</v>
      </c>
    </row>
    <row r="202" customFormat="false" ht="15" hidden="false" customHeight="false" outlineLevel="0" collapsed="false">
      <c r="A202" s="0" t="s">
        <v>77</v>
      </c>
      <c r="B202" s="0" t="s">
        <v>230</v>
      </c>
      <c r="C202" s="0" t="s">
        <v>181</v>
      </c>
      <c r="D202" s="0" t="n">
        <v>700</v>
      </c>
      <c r="E202" s="6" t="n">
        <v>1</v>
      </c>
      <c r="F202" s="6" t="n">
        <v>0.994541953757777</v>
      </c>
      <c r="G202" s="6" t="n">
        <v>1</v>
      </c>
      <c r="H202" s="7" t="n">
        <v>0.7635</v>
      </c>
      <c r="I202" s="7" t="n">
        <v>1.29</v>
      </c>
      <c r="J202" s="6" t="n">
        <v>0.997142857142857</v>
      </c>
    </row>
    <row r="203" customFormat="false" ht="15" hidden="false" customHeight="false" outlineLevel="0" collapsed="false">
      <c r="A203" s="0" t="s">
        <v>77</v>
      </c>
      <c r="B203" s="0" t="s">
        <v>230</v>
      </c>
      <c r="C203" s="0" t="s">
        <v>182</v>
      </c>
      <c r="D203" s="0" t="n">
        <v>700</v>
      </c>
      <c r="E203" s="6" t="n">
        <v>0.998571428571429</v>
      </c>
      <c r="F203" s="6" t="n">
        <v>0.991952621292185</v>
      </c>
      <c r="G203" s="6" t="n">
        <v>0.999747784026285</v>
      </c>
      <c r="H203" s="7" t="n">
        <v>0.429</v>
      </c>
      <c r="I203" s="7" t="n">
        <v>1.051</v>
      </c>
      <c r="J203" s="6" t="n">
        <v>0.998569384835479</v>
      </c>
    </row>
    <row r="204" customFormat="false" ht="15" hidden="false" customHeight="false" outlineLevel="0" collapsed="false">
      <c r="A204" s="0" t="s">
        <v>77</v>
      </c>
      <c r="B204" s="0" t="s">
        <v>230</v>
      </c>
      <c r="C204" s="0" t="s">
        <v>183</v>
      </c>
      <c r="D204" s="0" t="n">
        <v>700</v>
      </c>
      <c r="E204" s="6" t="n">
        <v>0.988571428571429</v>
      </c>
      <c r="F204" s="6" t="n">
        <v>0.977611666601191</v>
      </c>
      <c r="G204" s="6" t="n">
        <v>0.994197899642123</v>
      </c>
      <c r="H204" s="7" t="n">
        <v>1.032</v>
      </c>
      <c r="I204" s="7" t="n">
        <v>1.5</v>
      </c>
      <c r="J204" s="6" t="n">
        <v>0.998554913294798</v>
      </c>
    </row>
    <row r="205" customFormat="false" ht="15" hidden="false" customHeight="false" outlineLevel="0" collapsed="false">
      <c r="A205" s="0" t="s">
        <v>77</v>
      </c>
      <c r="B205" s="0" t="s">
        <v>230</v>
      </c>
      <c r="C205" s="0" t="s">
        <v>184</v>
      </c>
      <c r="D205" s="0" t="n">
        <v>2100</v>
      </c>
      <c r="E205" s="6" t="n">
        <v>0.995714285714286</v>
      </c>
      <c r="F205" s="6" t="n">
        <v>0.991874582617067</v>
      </c>
      <c r="G205" s="6" t="n">
        <v>0.997743647196432</v>
      </c>
      <c r="H205" s="7" t="n">
        <v>0.828</v>
      </c>
      <c r="I205" s="7" t="n">
        <v>1.374</v>
      </c>
      <c r="J205" s="6" t="n">
        <v>0.998087039693926</v>
      </c>
    </row>
    <row r="206" customFormat="false" ht="15" hidden="false" customHeight="false" outlineLevel="0" collapsed="false">
      <c r="A206" s="0" t="s">
        <v>77</v>
      </c>
      <c r="B206" s="0" t="s">
        <v>231</v>
      </c>
      <c r="C206" s="0" t="s">
        <v>181</v>
      </c>
      <c r="D206" s="0" t="n">
        <v>700</v>
      </c>
      <c r="E206" s="6" t="n">
        <v>0.998571428571429</v>
      </c>
      <c r="F206" s="6" t="n">
        <v>0.991952621292185</v>
      </c>
      <c r="G206" s="6" t="n">
        <v>0.999747784026285</v>
      </c>
      <c r="H206" s="7" t="n">
        <v>0.684</v>
      </c>
      <c r="I206" s="7" t="n">
        <v>1.075</v>
      </c>
      <c r="J206" s="6" t="n">
        <v>0.998569384835479</v>
      </c>
    </row>
    <row r="207" customFormat="false" ht="15" hidden="false" customHeight="false" outlineLevel="0" collapsed="false">
      <c r="A207" s="0" t="s">
        <v>77</v>
      </c>
      <c r="B207" s="0" t="s">
        <v>231</v>
      </c>
      <c r="C207" s="0" t="s">
        <v>182</v>
      </c>
      <c r="D207" s="0" t="n">
        <v>700</v>
      </c>
      <c r="E207" s="6" t="n">
        <v>1</v>
      </c>
      <c r="F207" s="6" t="n">
        <v>0.994541953757777</v>
      </c>
      <c r="G207" s="6" t="n">
        <v>1</v>
      </c>
      <c r="H207" s="7" t="n">
        <v>0.3385</v>
      </c>
      <c r="I207" s="7" t="n">
        <v>0.686</v>
      </c>
      <c r="J207" s="6" t="n">
        <v>0.998571428571429</v>
      </c>
    </row>
    <row r="208" customFormat="false" ht="15" hidden="false" customHeight="false" outlineLevel="0" collapsed="false">
      <c r="A208" s="0" t="s">
        <v>77</v>
      </c>
      <c r="B208" s="0" t="s">
        <v>231</v>
      </c>
      <c r="C208" s="0" t="s">
        <v>183</v>
      </c>
      <c r="D208" s="0" t="n">
        <v>700</v>
      </c>
      <c r="E208" s="6" t="n">
        <v>0.992857142857143</v>
      </c>
      <c r="F208" s="6" t="n">
        <v>0.983388914848421</v>
      </c>
      <c r="G208" s="6" t="n">
        <v>0.996945296712817</v>
      </c>
      <c r="H208" s="7" t="n">
        <v>0.95</v>
      </c>
      <c r="I208" s="7" t="n">
        <v>1.347</v>
      </c>
      <c r="J208" s="6" t="n">
        <v>1</v>
      </c>
    </row>
    <row r="209" customFormat="false" ht="15" hidden="false" customHeight="false" outlineLevel="0" collapsed="false">
      <c r="A209" s="0" t="s">
        <v>77</v>
      </c>
      <c r="B209" s="0" t="s">
        <v>231</v>
      </c>
      <c r="C209" s="0" t="s">
        <v>184</v>
      </c>
      <c r="D209" s="0" t="n">
        <v>2100</v>
      </c>
      <c r="E209" s="6" t="n">
        <v>0.997142857142857</v>
      </c>
      <c r="F209" s="6" t="n">
        <v>0.993780229483795</v>
      </c>
      <c r="G209" s="6" t="n">
        <v>0.998689926064037</v>
      </c>
      <c r="H209" s="7" t="n">
        <v>0.726</v>
      </c>
      <c r="I209" s="7" t="n">
        <v>1.164</v>
      </c>
      <c r="J209" s="6" t="n">
        <v>0.999044890162369</v>
      </c>
    </row>
    <row r="210" customFormat="false" ht="15" hidden="false" customHeight="false" outlineLevel="0" collapsed="false">
      <c r="A210" s="0" t="s">
        <v>77</v>
      </c>
      <c r="B210" s="0" t="s">
        <v>232</v>
      </c>
      <c r="C210" s="0" t="s">
        <v>181</v>
      </c>
      <c r="D210" s="0" t="n">
        <v>700</v>
      </c>
      <c r="E210" s="6" t="n">
        <v>1</v>
      </c>
      <c r="F210" s="6" t="n">
        <v>0.994541953757777</v>
      </c>
      <c r="G210" s="6" t="n">
        <v>1</v>
      </c>
      <c r="H210" s="7" t="n">
        <v>0.753</v>
      </c>
      <c r="I210" s="7" t="n">
        <v>1.152</v>
      </c>
      <c r="J210" s="6" t="n">
        <v>1</v>
      </c>
    </row>
    <row r="211" customFormat="false" ht="15" hidden="false" customHeight="false" outlineLevel="0" collapsed="false">
      <c r="A211" s="0" t="s">
        <v>77</v>
      </c>
      <c r="B211" s="0" t="s">
        <v>232</v>
      </c>
      <c r="C211" s="0" t="s">
        <v>182</v>
      </c>
      <c r="D211" s="0" t="n">
        <v>700</v>
      </c>
      <c r="E211" s="6" t="n">
        <v>1</v>
      </c>
      <c r="F211" s="6" t="n">
        <v>0.994541953757777</v>
      </c>
      <c r="G211" s="6" t="n">
        <v>1</v>
      </c>
      <c r="H211" s="7" t="n">
        <v>0.426</v>
      </c>
      <c r="I211" s="7" t="n">
        <v>0.794</v>
      </c>
      <c r="J211" s="6" t="n">
        <v>1</v>
      </c>
    </row>
    <row r="212" customFormat="false" ht="15" hidden="false" customHeight="false" outlineLevel="0" collapsed="false">
      <c r="A212" s="0" t="s">
        <v>77</v>
      </c>
      <c r="B212" s="0" t="s">
        <v>232</v>
      </c>
      <c r="C212" s="0" t="s">
        <v>183</v>
      </c>
      <c r="D212" s="0" t="n">
        <v>700</v>
      </c>
      <c r="E212" s="6" t="n">
        <v>0.987142857142857</v>
      </c>
      <c r="F212" s="6" t="n">
        <v>0.97574661193468</v>
      </c>
      <c r="G212" s="6" t="n">
        <v>0.993221405869326</v>
      </c>
      <c r="H212" s="7" t="n">
        <v>1.027</v>
      </c>
      <c r="I212" s="7" t="n">
        <v>1.485</v>
      </c>
      <c r="J212" s="6" t="n">
        <v>0.998552821997106</v>
      </c>
    </row>
    <row r="213" customFormat="false" ht="15" hidden="false" customHeight="false" outlineLevel="0" collapsed="false">
      <c r="A213" s="0" t="s">
        <v>77</v>
      </c>
      <c r="B213" s="0" t="s">
        <v>232</v>
      </c>
      <c r="C213" s="0" t="s">
        <v>184</v>
      </c>
      <c r="D213" s="0" t="n">
        <v>2100</v>
      </c>
      <c r="E213" s="6" t="n">
        <v>0.995714285714286</v>
      </c>
      <c r="F213" s="6" t="n">
        <v>0.991874582617067</v>
      </c>
      <c r="G213" s="6" t="n">
        <v>0.997743647196432</v>
      </c>
      <c r="H213" s="7" t="n">
        <v>0.794</v>
      </c>
      <c r="I213" s="7" t="n">
        <v>1.244</v>
      </c>
      <c r="J213" s="6" t="n">
        <v>0.999521759923482</v>
      </c>
    </row>
    <row r="214" customFormat="false" ht="15" hidden="false" customHeight="false" outlineLevel="0" collapsed="false">
      <c r="A214" s="0" t="s">
        <v>77</v>
      </c>
      <c r="B214" s="0" t="s">
        <v>233</v>
      </c>
      <c r="C214" s="0" t="s">
        <v>181</v>
      </c>
      <c r="D214" s="0" t="n">
        <v>700</v>
      </c>
      <c r="E214" s="6" t="n">
        <v>0.998571428571429</v>
      </c>
      <c r="F214" s="6" t="n">
        <v>0.991952621292185</v>
      </c>
      <c r="G214" s="6" t="n">
        <v>0.999747784026285</v>
      </c>
      <c r="H214" s="7" t="n">
        <v>0.931</v>
      </c>
      <c r="I214" s="7" t="n">
        <v>1.373</v>
      </c>
      <c r="J214" s="6" t="n">
        <v>1</v>
      </c>
    </row>
    <row r="215" customFormat="false" ht="15" hidden="false" customHeight="false" outlineLevel="0" collapsed="false">
      <c r="A215" s="0" t="s">
        <v>77</v>
      </c>
      <c r="B215" s="0" t="s">
        <v>233</v>
      </c>
      <c r="C215" s="0" t="s">
        <v>182</v>
      </c>
      <c r="D215" s="0" t="n">
        <v>700</v>
      </c>
      <c r="E215" s="6" t="n">
        <v>1</v>
      </c>
      <c r="F215" s="6" t="n">
        <v>0.994541953757777</v>
      </c>
      <c r="G215" s="6" t="n">
        <v>1</v>
      </c>
      <c r="H215" s="7" t="n">
        <v>1.1365</v>
      </c>
      <c r="I215" s="7" t="n">
        <v>1.552</v>
      </c>
      <c r="J215" s="6" t="n">
        <v>1</v>
      </c>
    </row>
    <row r="216" customFormat="false" ht="15" hidden="false" customHeight="false" outlineLevel="0" collapsed="false">
      <c r="A216" s="0" t="s">
        <v>77</v>
      </c>
      <c r="B216" s="0" t="s">
        <v>233</v>
      </c>
      <c r="C216" s="0" t="s">
        <v>183</v>
      </c>
      <c r="D216" s="0" t="n">
        <v>700</v>
      </c>
      <c r="E216" s="6" t="n">
        <v>0.998571428571429</v>
      </c>
      <c r="F216" s="6" t="n">
        <v>0.991952621292185</v>
      </c>
      <c r="G216" s="6" t="n">
        <v>0.999747784026285</v>
      </c>
      <c r="H216" s="7" t="n">
        <v>1.761</v>
      </c>
      <c r="I216" s="7" t="n">
        <v>2.268</v>
      </c>
      <c r="J216" s="6" t="n">
        <v>1</v>
      </c>
    </row>
    <row r="217" customFormat="false" ht="15" hidden="false" customHeight="false" outlineLevel="0" collapsed="false">
      <c r="A217" s="0" t="s">
        <v>77</v>
      </c>
      <c r="B217" s="0" t="s">
        <v>233</v>
      </c>
      <c r="C217" s="0" t="s">
        <v>184</v>
      </c>
      <c r="D217" s="0" t="n">
        <v>2100</v>
      </c>
      <c r="E217" s="6" t="n">
        <v>0.999047619047619</v>
      </c>
      <c r="F217" s="6" t="n">
        <v>0.996533933798472</v>
      </c>
      <c r="G217" s="6" t="n">
        <v>0.999738789395138</v>
      </c>
      <c r="H217" s="7" t="n">
        <v>1.233</v>
      </c>
      <c r="I217" s="7" t="n">
        <v>1.986</v>
      </c>
      <c r="J217" s="6" t="n">
        <v>1</v>
      </c>
    </row>
    <row r="218" customFormat="false" ht="15" hidden="false" customHeight="false" outlineLevel="0" collapsed="false">
      <c r="A218" s="0" t="s">
        <v>77</v>
      </c>
      <c r="B218" s="0" t="s">
        <v>234</v>
      </c>
      <c r="C218" s="0" t="s">
        <v>181</v>
      </c>
      <c r="D218" s="0" t="n">
        <v>700</v>
      </c>
      <c r="E218" s="6" t="n">
        <v>0.995714285714286</v>
      </c>
      <c r="F218" s="6" t="n">
        <v>0.987475859383073</v>
      </c>
      <c r="G218" s="6" t="n">
        <v>0.99854144905678</v>
      </c>
      <c r="H218" s="7" t="n">
        <v>1.401</v>
      </c>
      <c r="I218" s="7" t="n">
        <v>1.961</v>
      </c>
      <c r="J218" s="6" t="n">
        <v>1</v>
      </c>
    </row>
    <row r="219" customFormat="false" ht="15" hidden="false" customHeight="false" outlineLevel="0" collapsed="false">
      <c r="A219" s="0" t="s">
        <v>77</v>
      </c>
      <c r="B219" s="0" t="s">
        <v>234</v>
      </c>
      <c r="C219" s="0" t="s">
        <v>182</v>
      </c>
      <c r="D219" s="0" t="n">
        <v>700</v>
      </c>
      <c r="E219" s="6" t="n">
        <v>0.995714285714286</v>
      </c>
      <c r="F219" s="6" t="n">
        <v>0.987475859383073</v>
      </c>
      <c r="G219" s="6" t="n">
        <v>0.99854144905678</v>
      </c>
      <c r="H219" s="7" t="n">
        <v>1.301</v>
      </c>
      <c r="I219" s="7" t="n">
        <v>2.307</v>
      </c>
      <c r="J219" s="6" t="n">
        <v>1</v>
      </c>
    </row>
    <row r="220" customFormat="false" ht="15" hidden="false" customHeight="false" outlineLevel="0" collapsed="false">
      <c r="A220" s="0" t="s">
        <v>77</v>
      </c>
      <c r="B220" s="0" t="s">
        <v>234</v>
      </c>
      <c r="C220" s="0" t="s">
        <v>183</v>
      </c>
      <c r="D220" s="0" t="n">
        <v>700</v>
      </c>
      <c r="E220" s="6" t="n">
        <v>0.984285714285714</v>
      </c>
      <c r="F220" s="6" t="n">
        <v>0.97208169241775</v>
      </c>
      <c r="G220" s="6" t="n">
        <v>0.99120322850764</v>
      </c>
      <c r="H220" s="7" t="n">
        <v>1.947</v>
      </c>
      <c r="I220" s="7" t="n">
        <v>2.575</v>
      </c>
      <c r="J220" s="6" t="n">
        <v>1</v>
      </c>
    </row>
    <row r="221" customFormat="false" ht="15" hidden="false" customHeight="false" outlineLevel="0" collapsed="false">
      <c r="A221" s="0" t="s">
        <v>77</v>
      </c>
      <c r="B221" s="0" t="s">
        <v>234</v>
      </c>
      <c r="C221" s="0" t="s">
        <v>184</v>
      </c>
      <c r="D221" s="0" t="n">
        <v>2100</v>
      </c>
      <c r="E221" s="6" t="n">
        <v>0.991904761904762</v>
      </c>
      <c r="F221" s="6" t="n">
        <v>0.987073485485553</v>
      </c>
      <c r="G221" s="6" t="n">
        <v>0.994939609036392</v>
      </c>
      <c r="H221" s="7" t="n">
        <v>1.556</v>
      </c>
      <c r="I221" s="7" t="n">
        <v>2.345</v>
      </c>
      <c r="J221" s="6" t="n">
        <v>1</v>
      </c>
    </row>
    <row r="222" customFormat="false" ht="15" hidden="false" customHeight="false" outlineLevel="0" collapsed="false">
      <c r="A222" s="0" t="s">
        <v>77</v>
      </c>
      <c r="B222" s="0" t="s">
        <v>235</v>
      </c>
      <c r="C222" s="0" t="s">
        <v>181</v>
      </c>
      <c r="D222" s="0" t="n">
        <v>700</v>
      </c>
      <c r="E222" s="6" t="n">
        <v>1</v>
      </c>
      <c r="F222" s="6" t="n">
        <v>0.994541953757777</v>
      </c>
      <c r="G222" s="6" t="n">
        <v>1</v>
      </c>
      <c r="H222" s="7" t="n">
        <v>0.781</v>
      </c>
      <c r="I222" s="7" t="n">
        <v>1.124</v>
      </c>
      <c r="J222" s="6" t="n">
        <v>1</v>
      </c>
    </row>
    <row r="223" customFormat="false" ht="15" hidden="false" customHeight="false" outlineLevel="0" collapsed="false">
      <c r="A223" s="0" t="s">
        <v>77</v>
      </c>
      <c r="B223" s="0" t="s">
        <v>235</v>
      </c>
      <c r="C223" s="0" t="s">
        <v>182</v>
      </c>
      <c r="D223" s="0" t="n">
        <v>700</v>
      </c>
      <c r="E223" s="6" t="n">
        <v>0.981428571428571</v>
      </c>
      <c r="F223" s="6" t="n">
        <v>0.968486560814195</v>
      </c>
      <c r="G223" s="6" t="n">
        <v>0.98911526323258</v>
      </c>
      <c r="H223" s="7" t="n">
        <v>0.44</v>
      </c>
      <c r="I223" s="7" t="n">
        <v>0.791</v>
      </c>
      <c r="J223" s="6" t="n">
        <v>0.998544395924309</v>
      </c>
    </row>
    <row r="224" customFormat="false" ht="15" hidden="false" customHeight="false" outlineLevel="0" collapsed="false">
      <c r="A224" s="0" t="s">
        <v>77</v>
      </c>
      <c r="B224" s="0" t="s">
        <v>235</v>
      </c>
      <c r="C224" s="0" t="s">
        <v>183</v>
      </c>
      <c r="D224" s="0" t="n">
        <v>700</v>
      </c>
      <c r="E224" s="6" t="n">
        <v>0.987142857142857</v>
      </c>
      <c r="F224" s="6" t="n">
        <v>0.97574661193468</v>
      </c>
      <c r="G224" s="6" t="n">
        <v>0.993221405869326</v>
      </c>
      <c r="H224" s="7" t="n">
        <v>1.108</v>
      </c>
      <c r="I224" s="7" t="n">
        <v>1.493</v>
      </c>
      <c r="J224" s="6" t="n">
        <v>0.998552821997106</v>
      </c>
    </row>
    <row r="225" customFormat="false" ht="15" hidden="false" customHeight="false" outlineLevel="0" collapsed="false">
      <c r="A225" s="0" t="s">
        <v>77</v>
      </c>
      <c r="B225" s="0" t="s">
        <v>235</v>
      </c>
      <c r="C225" s="0" t="s">
        <v>184</v>
      </c>
      <c r="D225" s="0" t="n">
        <v>2100</v>
      </c>
      <c r="E225" s="6" t="n">
        <v>0.98952380952381</v>
      </c>
      <c r="F225" s="6" t="n">
        <v>0.98418831611063</v>
      </c>
      <c r="G225" s="6" t="n">
        <v>0.993071568854093</v>
      </c>
      <c r="H225" s="7" t="n">
        <v>0.815</v>
      </c>
      <c r="I225" s="7" t="n">
        <v>1.328</v>
      </c>
      <c r="J225" s="6" t="n">
        <v>0.999037536092397</v>
      </c>
    </row>
    <row r="226" customFormat="false" ht="15" hidden="false" customHeight="false" outlineLevel="0" collapsed="false">
      <c r="A226" s="0" t="s">
        <v>77</v>
      </c>
      <c r="B226" s="0" t="s">
        <v>236</v>
      </c>
      <c r="C226" s="0" t="s">
        <v>181</v>
      </c>
      <c r="D226" s="0" t="n">
        <v>700</v>
      </c>
      <c r="E226" s="6" t="n">
        <v>1</v>
      </c>
      <c r="F226" s="6" t="n">
        <v>0.994541953757777</v>
      </c>
      <c r="G226" s="6" t="n">
        <v>1</v>
      </c>
      <c r="H226" s="7" t="n">
        <v>0.8515</v>
      </c>
      <c r="I226" s="7" t="n">
        <v>1.289</v>
      </c>
      <c r="J226" s="6" t="n">
        <v>0.995714285714286</v>
      </c>
    </row>
    <row r="227" customFormat="false" ht="15" hidden="false" customHeight="false" outlineLevel="0" collapsed="false">
      <c r="A227" s="0" t="s">
        <v>77</v>
      </c>
      <c r="B227" s="0" t="s">
        <v>236</v>
      </c>
      <c r="C227" s="0" t="s">
        <v>182</v>
      </c>
      <c r="D227" s="0" t="n">
        <v>700</v>
      </c>
      <c r="E227" s="6" t="n">
        <v>1</v>
      </c>
      <c r="F227" s="6" t="n">
        <v>0.994541953757777</v>
      </c>
      <c r="G227" s="6" t="n">
        <v>1</v>
      </c>
      <c r="H227" s="7" t="n">
        <v>0.5395</v>
      </c>
      <c r="I227" s="7" t="n">
        <v>1.035</v>
      </c>
      <c r="J227" s="6" t="n">
        <v>0.995714285714286</v>
      </c>
    </row>
    <row r="228" customFormat="false" ht="15" hidden="false" customHeight="false" outlineLevel="0" collapsed="false">
      <c r="A228" s="0" t="s">
        <v>77</v>
      </c>
      <c r="B228" s="0" t="s">
        <v>236</v>
      </c>
      <c r="C228" s="0" t="s">
        <v>183</v>
      </c>
      <c r="D228" s="0" t="n">
        <v>700</v>
      </c>
      <c r="E228" s="6" t="n">
        <v>0.994285714285714</v>
      </c>
      <c r="F228" s="6" t="n">
        <v>0.985400075576777</v>
      </c>
      <c r="G228" s="6" t="n">
        <v>0.997775684423769</v>
      </c>
      <c r="H228" s="7" t="n">
        <v>1.138</v>
      </c>
      <c r="I228" s="7" t="n">
        <v>1.595</v>
      </c>
      <c r="J228" s="6" t="n">
        <v>0.994252873563218</v>
      </c>
    </row>
    <row r="229" customFormat="false" ht="15" hidden="false" customHeight="false" outlineLevel="0" collapsed="false">
      <c r="A229" s="0" t="s">
        <v>77</v>
      </c>
      <c r="B229" s="0" t="s">
        <v>236</v>
      </c>
      <c r="C229" s="0" t="s">
        <v>184</v>
      </c>
      <c r="D229" s="0" t="n">
        <v>2100</v>
      </c>
      <c r="E229" s="6" t="n">
        <v>0.998095238095238</v>
      </c>
      <c r="F229" s="6" t="n">
        <v>0.995112393687503</v>
      </c>
      <c r="G229" s="6" t="n">
        <v>0.999259045683217</v>
      </c>
      <c r="H229" s="7" t="n">
        <v>0.899</v>
      </c>
      <c r="I229" s="7" t="n">
        <v>1.415</v>
      </c>
      <c r="J229" s="6" t="n">
        <v>0.995229007633588</v>
      </c>
    </row>
    <row r="230" customFormat="false" ht="15" hidden="false" customHeight="false" outlineLevel="0" collapsed="false">
      <c r="A230" s="0" t="s">
        <v>77</v>
      </c>
      <c r="B230" s="0" t="s">
        <v>237</v>
      </c>
      <c r="C230" s="0" t="s">
        <v>181</v>
      </c>
      <c r="D230" s="0" t="n">
        <v>700</v>
      </c>
      <c r="E230" s="6" t="n">
        <v>1</v>
      </c>
      <c r="F230" s="6" t="n">
        <v>0.994541953757777</v>
      </c>
      <c r="G230" s="6" t="n">
        <v>1</v>
      </c>
      <c r="H230" s="7" t="n">
        <v>0.897</v>
      </c>
      <c r="I230" s="7" t="n">
        <v>1.326</v>
      </c>
      <c r="J230" s="6" t="n">
        <v>0.998571428571429</v>
      </c>
    </row>
    <row r="231" customFormat="false" ht="15" hidden="false" customHeight="false" outlineLevel="0" collapsed="false">
      <c r="A231" s="0" t="s">
        <v>77</v>
      </c>
      <c r="B231" s="0" t="s">
        <v>237</v>
      </c>
      <c r="C231" s="0" t="s">
        <v>182</v>
      </c>
      <c r="D231" s="0" t="n">
        <v>700</v>
      </c>
      <c r="E231" s="6" t="n">
        <v>1</v>
      </c>
      <c r="F231" s="6" t="n">
        <v>0.994541953757777</v>
      </c>
      <c r="G231" s="6" t="n">
        <v>1</v>
      </c>
      <c r="H231" s="7" t="n">
        <v>0.5745</v>
      </c>
      <c r="I231" s="7" t="n">
        <v>1.023</v>
      </c>
      <c r="J231" s="6" t="n">
        <v>0.991428571428571</v>
      </c>
    </row>
    <row r="232" customFormat="false" ht="15" hidden="false" customHeight="false" outlineLevel="0" collapsed="false">
      <c r="A232" s="0" t="s">
        <v>77</v>
      </c>
      <c r="B232" s="0" t="s">
        <v>237</v>
      </c>
      <c r="C232" s="0" t="s">
        <v>183</v>
      </c>
      <c r="D232" s="0" t="n">
        <v>700</v>
      </c>
      <c r="E232" s="6" t="n">
        <v>0.995714285714286</v>
      </c>
      <c r="F232" s="6" t="n">
        <v>0.987475859383073</v>
      </c>
      <c r="G232" s="6" t="n">
        <v>0.99854144905678</v>
      </c>
      <c r="H232" s="7" t="n">
        <v>1.212</v>
      </c>
      <c r="I232" s="7" t="n">
        <v>2.069</v>
      </c>
      <c r="J232" s="6" t="n">
        <v>0.995695839311334</v>
      </c>
    </row>
    <row r="233" customFormat="false" ht="15" hidden="false" customHeight="false" outlineLevel="0" collapsed="false">
      <c r="A233" s="0" t="s">
        <v>77</v>
      </c>
      <c r="B233" s="0" t="s">
        <v>237</v>
      </c>
      <c r="C233" s="0" t="s">
        <v>184</v>
      </c>
      <c r="D233" s="0" t="n">
        <v>2100</v>
      </c>
      <c r="E233" s="6" t="n">
        <v>0.998571428571429</v>
      </c>
      <c r="F233" s="6" t="n">
        <v>0.995808031986912</v>
      </c>
      <c r="G233" s="6" t="n">
        <v>0.999514049295253</v>
      </c>
      <c r="H233" s="7" t="n">
        <v>0.937</v>
      </c>
      <c r="I233" s="7" t="n">
        <v>1.544</v>
      </c>
      <c r="J233" s="6" t="n">
        <v>0.995231282784931</v>
      </c>
    </row>
    <row r="234" customFormat="false" ht="15" hidden="false" customHeight="false" outlineLevel="0" collapsed="false">
      <c r="A234" s="0" t="s">
        <v>77</v>
      </c>
      <c r="B234" s="0" t="s">
        <v>238</v>
      </c>
      <c r="C234" s="0" t="s">
        <v>181</v>
      </c>
      <c r="D234" s="0" t="n">
        <v>700</v>
      </c>
      <c r="E234" s="6" t="n">
        <v>0.995714285714286</v>
      </c>
      <c r="F234" s="6" t="n">
        <v>0.987475859383073</v>
      </c>
      <c r="G234" s="6" t="n">
        <v>0.99854144905678</v>
      </c>
      <c r="H234" s="7" t="n">
        <v>1.291</v>
      </c>
      <c r="I234" s="7" t="n">
        <v>1.586</v>
      </c>
      <c r="J234" s="6" t="n">
        <v>1</v>
      </c>
    </row>
    <row r="235" customFormat="false" ht="15" hidden="false" customHeight="false" outlineLevel="0" collapsed="false">
      <c r="A235" s="0" t="s">
        <v>77</v>
      </c>
      <c r="B235" s="0" t="s">
        <v>238</v>
      </c>
      <c r="C235" s="0" t="s">
        <v>182</v>
      </c>
      <c r="D235" s="0" t="n">
        <v>700</v>
      </c>
      <c r="E235" s="6" t="n">
        <v>0.998571428571429</v>
      </c>
      <c r="F235" s="6" t="n">
        <v>0.991952621292185</v>
      </c>
      <c r="G235" s="6" t="n">
        <v>0.999747784026285</v>
      </c>
      <c r="H235" s="7" t="n">
        <v>1.205</v>
      </c>
      <c r="I235" s="7" t="n">
        <v>1.733</v>
      </c>
      <c r="J235" s="6" t="n">
        <v>1</v>
      </c>
    </row>
    <row r="236" customFormat="false" ht="15" hidden="false" customHeight="false" outlineLevel="0" collapsed="false">
      <c r="A236" s="0" t="s">
        <v>77</v>
      </c>
      <c r="B236" s="0" t="s">
        <v>238</v>
      </c>
      <c r="C236" s="0" t="s">
        <v>183</v>
      </c>
      <c r="D236" s="0" t="n">
        <v>700</v>
      </c>
      <c r="E236" s="6" t="n">
        <v>0.99</v>
      </c>
      <c r="F236" s="6" t="n">
        <v>0.979503326116614</v>
      </c>
      <c r="G236" s="6" t="n">
        <v>0.995147788566008</v>
      </c>
      <c r="H236" s="7" t="n">
        <v>1.744</v>
      </c>
      <c r="I236" s="7" t="n">
        <v>2.112</v>
      </c>
      <c r="J236" s="6" t="n">
        <v>1</v>
      </c>
    </row>
    <row r="237" customFormat="false" ht="15" hidden="false" customHeight="false" outlineLevel="0" collapsed="false">
      <c r="A237" s="0" t="s">
        <v>77</v>
      </c>
      <c r="B237" s="0" t="s">
        <v>238</v>
      </c>
      <c r="C237" s="0" t="s">
        <v>184</v>
      </c>
      <c r="D237" s="0" t="n">
        <v>2100</v>
      </c>
      <c r="E237" s="6" t="n">
        <v>0.994761904761905</v>
      </c>
      <c r="F237" s="6" t="n">
        <v>0.990644314759109</v>
      </c>
      <c r="G237" s="6" t="n">
        <v>0.997072631231502</v>
      </c>
      <c r="H237" s="7" t="n">
        <v>1.41</v>
      </c>
      <c r="I237" s="7" t="n">
        <v>1.977</v>
      </c>
      <c r="J237" s="6" t="n">
        <v>1</v>
      </c>
    </row>
    <row r="238" customFormat="false" ht="15" hidden="false" customHeight="false" outlineLevel="0" collapsed="false">
      <c r="A238" s="0" t="s">
        <v>77</v>
      </c>
      <c r="B238" s="0" t="s">
        <v>239</v>
      </c>
      <c r="C238" s="0" t="s">
        <v>181</v>
      </c>
      <c r="D238" s="0" t="n">
        <v>700</v>
      </c>
      <c r="E238" s="6" t="n">
        <v>0.995714285714286</v>
      </c>
      <c r="F238" s="6" t="n">
        <v>0.987475859383073</v>
      </c>
      <c r="G238" s="6" t="n">
        <v>0.99854144905678</v>
      </c>
      <c r="H238" s="7" t="n">
        <v>1.238</v>
      </c>
      <c r="I238" s="7" t="n">
        <v>1.985</v>
      </c>
      <c r="J238" s="6" t="n">
        <v>0.998565279770445</v>
      </c>
    </row>
    <row r="239" customFormat="false" ht="15" hidden="false" customHeight="false" outlineLevel="0" collapsed="false">
      <c r="A239" s="0" t="s">
        <v>77</v>
      </c>
      <c r="B239" s="0" t="s">
        <v>239</v>
      </c>
      <c r="C239" s="0" t="s">
        <v>182</v>
      </c>
      <c r="D239" s="0" t="n">
        <v>700</v>
      </c>
      <c r="E239" s="6" t="n">
        <v>0.997142857142857</v>
      </c>
      <c r="F239" s="6" t="n">
        <v>0.989642722089369</v>
      </c>
      <c r="G239" s="6" t="n">
        <v>0.999216134789793</v>
      </c>
      <c r="H239" s="7" t="n">
        <v>1.075</v>
      </c>
      <c r="I239" s="7" t="n">
        <v>1.781</v>
      </c>
      <c r="J239" s="6" t="n">
        <v>0.997134670487106</v>
      </c>
    </row>
    <row r="240" customFormat="false" ht="15" hidden="false" customHeight="false" outlineLevel="0" collapsed="false">
      <c r="A240" s="0" t="s">
        <v>77</v>
      </c>
      <c r="B240" s="0" t="s">
        <v>239</v>
      </c>
      <c r="C240" s="0" t="s">
        <v>183</v>
      </c>
      <c r="D240" s="0" t="n">
        <v>700</v>
      </c>
      <c r="E240" s="6" t="n">
        <v>0.982857142857143</v>
      </c>
      <c r="F240" s="6" t="n">
        <v>0.970276429016035</v>
      </c>
      <c r="G240" s="6" t="n">
        <v>0.990166943470048</v>
      </c>
      <c r="H240" s="7" t="n">
        <v>1.692</v>
      </c>
      <c r="I240" s="7" t="n">
        <v>2.31</v>
      </c>
      <c r="J240" s="6" t="n">
        <v>1</v>
      </c>
    </row>
    <row r="241" customFormat="false" ht="15" hidden="false" customHeight="false" outlineLevel="0" collapsed="false">
      <c r="A241" s="0" t="s">
        <v>77</v>
      </c>
      <c r="B241" s="0" t="s">
        <v>239</v>
      </c>
      <c r="C241" s="0" t="s">
        <v>184</v>
      </c>
      <c r="D241" s="0" t="n">
        <v>2100</v>
      </c>
      <c r="E241" s="6" t="n">
        <v>0.991904761904762</v>
      </c>
      <c r="F241" s="6" t="n">
        <v>0.987073485485553</v>
      </c>
      <c r="G241" s="6" t="n">
        <v>0.994939609036392</v>
      </c>
      <c r="H241" s="7" t="n">
        <v>1.363</v>
      </c>
      <c r="I241" s="7" t="n">
        <v>2.063</v>
      </c>
      <c r="J241" s="6" t="n">
        <v>0.99855976956313</v>
      </c>
    </row>
    <row r="242" customFormat="false" ht="15" hidden="false" customHeight="false" outlineLevel="0" collapsed="false">
      <c r="A242" s="0" t="s">
        <v>91</v>
      </c>
      <c r="B242" s="0" t="s">
        <v>228</v>
      </c>
      <c r="C242" s="0" t="s">
        <v>181</v>
      </c>
      <c r="D242" s="0" t="n">
        <v>700</v>
      </c>
      <c r="E242" s="6" t="n">
        <v>0.992857142857143</v>
      </c>
      <c r="F242" s="6" t="n">
        <v>0.983388914848421</v>
      </c>
      <c r="G242" s="6" t="n">
        <v>0.996945296712817</v>
      </c>
      <c r="H242" s="7" t="n">
        <v>0.548</v>
      </c>
      <c r="I242" s="7" t="n">
        <v>1.114</v>
      </c>
      <c r="J242" s="6" t="n">
        <v>0.998561151079137</v>
      </c>
    </row>
    <row r="243" customFormat="false" ht="15" hidden="false" customHeight="false" outlineLevel="0" collapsed="false">
      <c r="A243" s="0" t="s">
        <v>91</v>
      </c>
      <c r="B243" s="0" t="s">
        <v>228</v>
      </c>
      <c r="C243" s="0" t="s">
        <v>182</v>
      </c>
      <c r="D243" s="0" t="n">
        <v>700</v>
      </c>
      <c r="E243" s="6" t="n">
        <v>1</v>
      </c>
      <c r="F243" s="6" t="n">
        <v>0.994541953757777</v>
      </c>
      <c r="G243" s="6" t="n">
        <v>1</v>
      </c>
      <c r="H243" s="7" t="n">
        <v>0.8355</v>
      </c>
      <c r="I243" s="7" t="n">
        <v>1.867</v>
      </c>
      <c r="J243" s="6" t="n">
        <v>1</v>
      </c>
    </row>
    <row r="244" customFormat="false" ht="15" hidden="false" customHeight="false" outlineLevel="0" collapsed="false">
      <c r="A244" s="0" t="s">
        <v>91</v>
      </c>
      <c r="B244" s="0" t="s">
        <v>228</v>
      </c>
      <c r="C244" s="0" t="s">
        <v>183</v>
      </c>
      <c r="D244" s="0" t="n">
        <v>700</v>
      </c>
      <c r="E244" s="6" t="n">
        <v>0.994285714285714</v>
      </c>
      <c r="F244" s="6" t="n">
        <v>0.985400075576777</v>
      </c>
      <c r="G244" s="6" t="n">
        <v>0.997775684423769</v>
      </c>
      <c r="H244" s="7" t="n">
        <v>1.2</v>
      </c>
      <c r="I244" s="7" t="n">
        <v>1.86</v>
      </c>
      <c r="J244" s="6" t="n">
        <v>0.997126436781609</v>
      </c>
    </row>
    <row r="245" customFormat="false" ht="15" hidden="false" customHeight="false" outlineLevel="0" collapsed="false">
      <c r="A245" s="0" t="s">
        <v>91</v>
      </c>
      <c r="B245" s="0" t="s">
        <v>228</v>
      </c>
      <c r="C245" s="0" t="s">
        <v>184</v>
      </c>
      <c r="D245" s="0" t="n">
        <v>2100</v>
      </c>
      <c r="E245" s="6" t="n">
        <v>0.995714285714286</v>
      </c>
      <c r="F245" s="6" t="n">
        <v>0.991874582617067</v>
      </c>
      <c r="G245" s="6" t="n">
        <v>0.997743647196432</v>
      </c>
      <c r="H245" s="7" t="n">
        <v>0.928</v>
      </c>
      <c r="I245" s="7" t="n">
        <v>1.652</v>
      </c>
      <c r="J245" s="6" t="n">
        <v>0.998565279770445</v>
      </c>
    </row>
    <row r="246" customFormat="false" ht="15" hidden="false" customHeight="false" outlineLevel="0" collapsed="false">
      <c r="A246" s="0" t="s">
        <v>91</v>
      </c>
      <c r="B246" s="0" t="s">
        <v>229</v>
      </c>
      <c r="C246" s="0" t="s">
        <v>181</v>
      </c>
      <c r="D246" s="0" t="n">
        <v>700</v>
      </c>
      <c r="E246" s="6" t="n">
        <v>0.997142857142857</v>
      </c>
      <c r="F246" s="6" t="n">
        <v>0.989642722089369</v>
      </c>
      <c r="G246" s="6" t="n">
        <v>0.999216134789793</v>
      </c>
      <c r="H246" s="7" t="n">
        <v>0.5875</v>
      </c>
      <c r="I246" s="7" t="n">
        <v>0.893</v>
      </c>
      <c r="J246" s="6" t="n">
        <v>1</v>
      </c>
    </row>
    <row r="247" customFormat="false" ht="15" hidden="false" customHeight="false" outlineLevel="0" collapsed="false">
      <c r="A247" s="0" t="s">
        <v>91</v>
      </c>
      <c r="B247" s="0" t="s">
        <v>229</v>
      </c>
      <c r="C247" s="0" t="s">
        <v>182</v>
      </c>
      <c r="D247" s="0" t="n">
        <v>700</v>
      </c>
      <c r="E247" s="6" t="n">
        <v>1</v>
      </c>
      <c r="F247" s="6" t="n">
        <v>0.994541953757777</v>
      </c>
      <c r="G247" s="6" t="n">
        <v>1</v>
      </c>
      <c r="H247" s="7" t="n">
        <v>0.285</v>
      </c>
      <c r="I247" s="7" t="n">
        <v>0.607</v>
      </c>
      <c r="J247" s="6" t="n">
        <v>1</v>
      </c>
    </row>
    <row r="248" customFormat="false" ht="15" hidden="false" customHeight="false" outlineLevel="0" collapsed="false">
      <c r="A248" s="0" t="s">
        <v>91</v>
      </c>
      <c r="B248" s="0" t="s">
        <v>229</v>
      </c>
      <c r="C248" s="0" t="s">
        <v>183</v>
      </c>
      <c r="D248" s="0" t="n">
        <v>700</v>
      </c>
      <c r="E248" s="6" t="n">
        <v>0.997142857142857</v>
      </c>
      <c r="F248" s="6" t="n">
        <v>0.989642722089369</v>
      </c>
      <c r="G248" s="6" t="n">
        <v>0.999216134789793</v>
      </c>
      <c r="H248" s="7" t="n">
        <v>1.187</v>
      </c>
      <c r="I248" s="7" t="n">
        <v>1.547</v>
      </c>
      <c r="J248" s="6" t="n">
        <v>0.998567335243553</v>
      </c>
    </row>
    <row r="249" customFormat="false" ht="15" hidden="false" customHeight="false" outlineLevel="0" collapsed="false">
      <c r="A249" s="0" t="s">
        <v>91</v>
      </c>
      <c r="B249" s="0" t="s">
        <v>229</v>
      </c>
      <c r="C249" s="0" t="s">
        <v>184</v>
      </c>
      <c r="D249" s="0" t="n">
        <v>2100</v>
      </c>
      <c r="E249" s="6" t="n">
        <v>0.998095238095238</v>
      </c>
      <c r="F249" s="6" t="n">
        <v>0.995112393687503</v>
      </c>
      <c r="G249" s="6" t="n">
        <v>0.999259045683217</v>
      </c>
      <c r="H249" s="7" t="n">
        <v>0.607</v>
      </c>
      <c r="I249" s="7" t="n">
        <v>1.44</v>
      </c>
      <c r="J249" s="6" t="n">
        <v>0.999522900763359</v>
      </c>
    </row>
    <row r="250" customFormat="false" ht="15" hidden="false" customHeight="false" outlineLevel="0" collapsed="false">
      <c r="A250" s="0" t="s">
        <v>91</v>
      </c>
      <c r="B250" s="0" t="s">
        <v>230</v>
      </c>
      <c r="C250" s="0" t="s">
        <v>181</v>
      </c>
      <c r="D250" s="0" t="n">
        <v>700</v>
      </c>
      <c r="E250" s="6" t="n">
        <v>1</v>
      </c>
      <c r="F250" s="6" t="n">
        <v>0.994541953757777</v>
      </c>
      <c r="G250" s="6" t="n">
        <v>1</v>
      </c>
      <c r="H250" s="7" t="n">
        <v>0.745</v>
      </c>
      <c r="I250" s="7" t="n">
        <v>1.317</v>
      </c>
      <c r="J250" s="6" t="n">
        <v>1</v>
      </c>
    </row>
    <row r="251" customFormat="false" ht="15" hidden="false" customHeight="false" outlineLevel="0" collapsed="false">
      <c r="A251" s="0" t="s">
        <v>91</v>
      </c>
      <c r="B251" s="0" t="s">
        <v>230</v>
      </c>
      <c r="C251" s="0" t="s">
        <v>182</v>
      </c>
      <c r="D251" s="0" t="n">
        <v>700</v>
      </c>
      <c r="E251" s="6" t="n">
        <v>1</v>
      </c>
      <c r="F251" s="6" t="n">
        <v>0.994541953757777</v>
      </c>
      <c r="G251" s="6" t="n">
        <v>1</v>
      </c>
      <c r="H251" s="7" t="n">
        <v>0.4485</v>
      </c>
      <c r="I251" s="7" t="n">
        <v>1.58</v>
      </c>
      <c r="J251" s="6" t="n">
        <v>0.998571428571429</v>
      </c>
    </row>
    <row r="252" customFormat="false" ht="15" hidden="false" customHeight="false" outlineLevel="0" collapsed="false">
      <c r="A252" s="0" t="s">
        <v>91</v>
      </c>
      <c r="B252" s="0" t="s">
        <v>230</v>
      </c>
      <c r="C252" s="0" t="s">
        <v>183</v>
      </c>
      <c r="D252" s="0" t="n">
        <v>700</v>
      </c>
      <c r="E252" s="6" t="n">
        <v>1</v>
      </c>
      <c r="F252" s="6" t="n">
        <v>0.994541953757777</v>
      </c>
      <c r="G252" s="6" t="n">
        <v>1</v>
      </c>
      <c r="H252" s="7" t="n">
        <v>1.394</v>
      </c>
      <c r="I252" s="7" t="n">
        <v>1.846</v>
      </c>
      <c r="J252" s="6" t="n">
        <v>0.998571428571429</v>
      </c>
    </row>
    <row r="253" customFormat="false" ht="15" hidden="false" customHeight="false" outlineLevel="0" collapsed="false">
      <c r="A253" s="0" t="s">
        <v>91</v>
      </c>
      <c r="B253" s="0" t="s">
        <v>230</v>
      </c>
      <c r="C253" s="0" t="s">
        <v>184</v>
      </c>
      <c r="D253" s="0" t="n">
        <v>2100</v>
      </c>
      <c r="E253" s="6" t="n">
        <v>1</v>
      </c>
      <c r="F253" s="6" t="n">
        <v>0.998174007016498</v>
      </c>
      <c r="G253" s="6" t="n">
        <v>1</v>
      </c>
      <c r="H253" s="7" t="n">
        <v>0.9475</v>
      </c>
      <c r="I253" s="7" t="n">
        <v>1.696</v>
      </c>
      <c r="J253" s="6" t="n">
        <v>0.999047619047619</v>
      </c>
    </row>
    <row r="254" customFormat="false" ht="15" hidden="false" customHeight="false" outlineLevel="0" collapsed="false">
      <c r="A254" s="0" t="s">
        <v>91</v>
      </c>
      <c r="B254" s="0" t="s">
        <v>231</v>
      </c>
      <c r="C254" s="0" t="s">
        <v>181</v>
      </c>
      <c r="D254" s="0" t="n">
        <v>700</v>
      </c>
      <c r="E254" s="6" t="n">
        <v>1</v>
      </c>
      <c r="F254" s="6" t="n">
        <v>0.994541953757777</v>
      </c>
      <c r="G254" s="6" t="n">
        <v>1</v>
      </c>
      <c r="H254" s="7" t="n">
        <v>0.5735</v>
      </c>
      <c r="I254" s="7" t="n">
        <v>0.993</v>
      </c>
      <c r="J254" s="6" t="n">
        <v>1</v>
      </c>
    </row>
    <row r="255" customFormat="false" ht="15" hidden="false" customHeight="false" outlineLevel="0" collapsed="false">
      <c r="A255" s="0" t="s">
        <v>91</v>
      </c>
      <c r="B255" s="0" t="s">
        <v>231</v>
      </c>
      <c r="C255" s="0" t="s">
        <v>182</v>
      </c>
      <c r="D255" s="0" t="n">
        <v>700</v>
      </c>
      <c r="E255" s="6" t="n">
        <v>0.998571428571429</v>
      </c>
      <c r="F255" s="6" t="n">
        <v>0.991952621292185</v>
      </c>
      <c r="G255" s="6" t="n">
        <v>0.999747784026285</v>
      </c>
      <c r="H255" s="7" t="n">
        <v>0.268</v>
      </c>
      <c r="I255" s="7" t="n">
        <v>0.671</v>
      </c>
      <c r="J255" s="6" t="n">
        <v>1</v>
      </c>
    </row>
    <row r="256" customFormat="false" ht="15" hidden="false" customHeight="false" outlineLevel="0" collapsed="false">
      <c r="A256" s="0" t="s">
        <v>91</v>
      </c>
      <c r="B256" s="0" t="s">
        <v>231</v>
      </c>
      <c r="C256" s="0" t="s">
        <v>183</v>
      </c>
      <c r="D256" s="0" t="n">
        <v>700</v>
      </c>
      <c r="E256" s="6" t="n">
        <v>0.998571428571429</v>
      </c>
      <c r="F256" s="6" t="n">
        <v>0.991952621292185</v>
      </c>
      <c r="G256" s="6" t="n">
        <v>0.999747784026285</v>
      </c>
      <c r="H256" s="7" t="n">
        <v>1.22</v>
      </c>
      <c r="I256" s="7" t="n">
        <v>1.506</v>
      </c>
      <c r="J256" s="6" t="n">
        <v>1</v>
      </c>
    </row>
    <row r="257" customFormat="false" ht="15" hidden="false" customHeight="false" outlineLevel="0" collapsed="false">
      <c r="A257" s="0" t="s">
        <v>91</v>
      </c>
      <c r="B257" s="0" t="s">
        <v>231</v>
      </c>
      <c r="C257" s="0" t="s">
        <v>184</v>
      </c>
      <c r="D257" s="0" t="n">
        <v>2100</v>
      </c>
      <c r="E257" s="6" t="n">
        <v>0.999047619047619</v>
      </c>
      <c r="F257" s="6" t="n">
        <v>0.996533933798472</v>
      </c>
      <c r="G257" s="6" t="n">
        <v>0.999738789395138</v>
      </c>
      <c r="H257" s="7" t="n">
        <v>0.593</v>
      </c>
      <c r="I257" s="7" t="n">
        <v>1.404</v>
      </c>
      <c r="J257" s="6" t="n">
        <v>1</v>
      </c>
    </row>
    <row r="258" customFormat="false" ht="15" hidden="false" customHeight="false" outlineLevel="0" collapsed="false">
      <c r="A258" s="0" t="s">
        <v>91</v>
      </c>
      <c r="B258" s="0" t="s">
        <v>232</v>
      </c>
      <c r="C258" s="0" t="s">
        <v>181</v>
      </c>
      <c r="D258" s="0" t="n">
        <v>700</v>
      </c>
      <c r="E258" s="6" t="n">
        <v>1</v>
      </c>
      <c r="F258" s="6" t="n">
        <v>0.994541953757777</v>
      </c>
      <c r="G258" s="6" t="n">
        <v>1</v>
      </c>
      <c r="H258" s="7" t="n">
        <v>0.598</v>
      </c>
      <c r="I258" s="7" t="n">
        <v>0.945</v>
      </c>
      <c r="J258" s="6" t="n">
        <v>1</v>
      </c>
    </row>
    <row r="259" customFormat="false" ht="15" hidden="false" customHeight="false" outlineLevel="0" collapsed="false">
      <c r="A259" s="0" t="s">
        <v>91</v>
      </c>
      <c r="B259" s="0" t="s">
        <v>232</v>
      </c>
      <c r="C259" s="0" t="s">
        <v>182</v>
      </c>
      <c r="D259" s="0" t="n">
        <v>700</v>
      </c>
      <c r="E259" s="6" t="n">
        <v>0.998571428571429</v>
      </c>
      <c r="F259" s="6" t="n">
        <v>0.991952621292185</v>
      </c>
      <c r="G259" s="6" t="n">
        <v>0.999747784026285</v>
      </c>
      <c r="H259" s="7" t="n">
        <v>0.338</v>
      </c>
      <c r="I259" s="7" t="n">
        <v>0.74</v>
      </c>
      <c r="J259" s="6" t="n">
        <v>0.998569384835479</v>
      </c>
    </row>
    <row r="260" customFormat="false" ht="15" hidden="false" customHeight="false" outlineLevel="0" collapsed="false">
      <c r="A260" s="0" t="s">
        <v>91</v>
      </c>
      <c r="B260" s="0" t="s">
        <v>232</v>
      </c>
      <c r="C260" s="0" t="s">
        <v>183</v>
      </c>
      <c r="D260" s="0" t="n">
        <v>700</v>
      </c>
      <c r="E260" s="6" t="n">
        <v>1</v>
      </c>
      <c r="F260" s="6" t="n">
        <v>0.994541953757777</v>
      </c>
      <c r="G260" s="6" t="n">
        <v>1</v>
      </c>
      <c r="H260" s="7" t="n">
        <v>1.2365</v>
      </c>
      <c r="I260" s="7" t="n">
        <v>1.61</v>
      </c>
      <c r="J260" s="6" t="n">
        <v>1</v>
      </c>
    </row>
    <row r="261" customFormat="false" ht="15" hidden="false" customHeight="false" outlineLevel="0" collapsed="false">
      <c r="A261" s="0" t="s">
        <v>91</v>
      </c>
      <c r="B261" s="0" t="s">
        <v>232</v>
      </c>
      <c r="C261" s="0" t="s">
        <v>184</v>
      </c>
      <c r="D261" s="0" t="n">
        <v>2100</v>
      </c>
      <c r="E261" s="6" t="n">
        <v>0.99952380952381</v>
      </c>
      <c r="F261" s="6" t="n">
        <v>0.997307427200723</v>
      </c>
      <c r="G261" s="6" t="n">
        <v>0.999915937904331</v>
      </c>
      <c r="H261" s="7" t="n">
        <v>0.613</v>
      </c>
      <c r="I261" s="7" t="n">
        <v>1.473</v>
      </c>
      <c r="J261" s="6" t="n">
        <v>0.999523582658409</v>
      </c>
    </row>
    <row r="262" customFormat="false" ht="15" hidden="false" customHeight="false" outlineLevel="0" collapsed="false">
      <c r="A262" s="0" t="s">
        <v>91</v>
      </c>
      <c r="B262" s="0" t="s">
        <v>233</v>
      </c>
      <c r="C262" s="0" t="s">
        <v>181</v>
      </c>
      <c r="D262" s="0" t="n">
        <v>700</v>
      </c>
      <c r="E262" s="6" t="n">
        <v>0.997142857142857</v>
      </c>
      <c r="F262" s="6" t="n">
        <v>0.989642722089369</v>
      </c>
      <c r="G262" s="6" t="n">
        <v>0.999216134789793</v>
      </c>
      <c r="H262" s="7" t="n">
        <v>0.69</v>
      </c>
      <c r="I262" s="7" t="n">
        <v>1.04</v>
      </c>
      <c r="J262" s="6" t="n">
        <v>1</v>
      </c>
    </row>
    <row r="263" customFormat="false" ht="15" hidden="false" customHeight="false" outlineLevel="0" collapsed="false">
      <c r="A263" s="0" t="s">
        <v>91</v>
      </c>
      <c r="B263" s="0" t="s">
        <v>233</v>
      </c>
      <c r="C263" s="0" t="s">
        <v>182</v>
      </c>
      <c r="D263" s="0" t="n">
        <v>700</v>
      </c>
      <c r="E263" s="6" t="n">
        <v>0.995714285714286</v>
      </c>
      <c r="F263" s="6" t="n">
        <v>0.987475859383073</v>
      </c>
      <c r="G263" s="6" t="n">
        <v>0.99854144905678</v>
      </c>
      <c r="H263" s="7" t="n">
        <v>0.964</v>
      </c>
      <c r="I263" s="7" t="n">
        <v>1.906</v>
      </c>
      <c r="J263" s="6" t="n">
        <v>1</v>
      </c>
    </row>
    <row r="264" customFormat="false" ht="15" hidden="false" customHeight="false" outlineLevel="0" collapsed="false">
      <c r="A264" s="0" t="s">
        <v>91</v>
      </c>
      <c r="B264" s="0" t="s">
        <v>233</v>
      </c>
      <c r="C264" s="0" t="s">
        <v>183</v>
      </c>
      <c r="D264" s="0" t="n">
        <v>700</v>
      </c>
      <c r="E264" s="6" t="n">
        <v>1</v>
      </c>
      <c r="F264" s="6" t="n">
        <v>0.994541953757777</v>
      </c>
      <c r="G264" s="6" t="n">
        <v>1</v>
      </c>
      <c r="H264" s="7" t="n">
        <v>1.556</v>
      </c>
      <c r="I264" s="7" t="n">
        <v>2.084</v>
      </c>
      <c r="J264" s="6" t="n">
        <v>1</v>
      </c>
    </row>
    <row r="265" customFormat="false" ht="15" hidden="false" customHeight="false" outlineLevel="0" collapsed="false">
      <c r="A265" s="0" t="s">
        <v>91</v>
      </c>
      <c r="B265" s="0" t="s">
        <v>233</v>
      </c>
      <c r="C265" s="0" t="s">
        <v>184</v>
      </c>
      <c r="D265" s="0" t="n">
        <v>2100</v>
      </c>
      <c r="E265" s="6" t="n">
        <v>0.997619047619048</v>
      </c>
      <c r="F265" s="6" t="n">
        <v>0.994438198537809</v>
      </c>
      <c r="G265" s="6" t="n">
        <v>0.998982598921468</v>
      </c>
      <c r="H265" s="7" t="n">
        <v>1.008</v>
      </c>
      <c r="I265" s="7" t="n">
        <v>1.854</v>
      </c>
      <c r="J265" s="6" t="n">
        <v>1</v>
      </c>
    </row>
    <row r="266" customFormat="false" ht="15" hidden="false" customHeight="false" outlineLevel="0" collapsed="false">
      <c r="A266" s="0" t="s">
        <v>91</v>
      </c>
      <c r="B266" s="0" t="s">
        <v>234</v>
      </c>
      <c r="C266" s="0" t="s">
        <v>181</v>
      </c>
      <c r="D266" s="0" t="n">
        <v>700</v>
      </c>
      <c r="E266" s="6" t="n">
        <v>0.994285714285714</v>
      </c>
      <c r="F266" s="6" t="n">
        <v>0.985400075576777</v>
      </c>
      <c r="G266" s="6" t="n">
        <v>0.997775684423769</v>
      </c>
      <c r="H266" s="7" t="n">
        <v>1.4145</v>
      </c>
      <c r="I266" s="7" t="n">
        <v>2.549</v>
      </c>
      <c r="J266" s="6" t="n">
        <v>0.995689655172414</v>
      </c>
    </row>
    <row r="267" customFormat="false" ht="15" hidden="false" customHeight="false" outlineLevel="0" collapsed="false">
      <c r="A267" s="0" t="s">
        <v>91</v>
      </c>
      <c r="B267" s="0" t="s">
        <v>234</v>
      </c>
      <c r="C267" s="0" t="s">
        <v>182</v>
      </c>
      <c r="D267" s="0" t="n">
        <v>700</v>
      </c>
      <c r="E267" s="6" t="n">
        <v>0.995714285714286</v>
      </c>
      <c r="F267" s="6" t="n">
        <v>0.987475859383073</v>
      </c>
      <c r="G267" s="6" t="n">
        <v>0.99854144905678</v>
      </c>
      <c r="H267" s="7" t="n">
        <v>1.118</v>
      </c>
      <c r="I267" s="7" t="n">
        <v>3.273</v>
      </c>
      <c r="J267" s="6" t="n">
        <v>1</v>
      </c>
    </row>
    <row r="268" customFormat="false" ht="15" hidden="false" customHeight="false" outlineLevel="0" collapsed="false">
      <c r="A268" s="0" t="s">
        <v>91</v>
      </c>
      <c r="B268" s="0" t="s">
        <v>234</v>
      </c>
      <c r="C268" s="0" t="s">
        <v>183</v>
      </c>
      <c r="D268" s="0" t="n">
        <v>700</v>
      </c>
      <c r="E268" s="6" t="n">
        <v>0.997142857142857</v>
      </c>
      <c r="F268" s="6" t="n">
        <v>0.989642722089369</v>
      </c>
      <c r="G268" s="6" t="n">
        <v>0.999216134789793</v>
      </c>
      <c r="H268" s="7" t="n">
        <v>1.122</v>
      </c>
      <c r="I268" s="7" t="n">
        <v>3.351</v>
      </c>
      <c r="J268" s="6" t="n">
        <v>0.997134670487106</v>
      </c>
    </row>
    <row r="269" customFormat="false" ht="15" hidden="false" customHeight="false" outlineLevel="0" collapsed="false">
      <c r="A269" s="0" t="s">
        <v>91</v>
      </c>
      <c r="B269" s="0" t="s">
        <v>234</v>
      </c>
      <c r="C269" s="0" t="s">
        <v>184</v>
      </c>
      <c r="D269" s="0" t="n">
        <v>2100</v>
      </c>
      <c r="E269" s="6" t="n">
        <v>0.995714285714286</v>
      </c>
      <c r="F269" s="6" t="n">
        <v>0.991874582617067</v>
      </c>
      <c r="G269" s="6" t="n">
        <v>0.997743647196432</v>
      </c>
      <c r="H269" s="7" t="n">
        <v>1.286</v>
      </c>
      <c r="I269" s="7" t="n">
        <v>3.061</v>
      </c>
      <c r="J269" s="6" t="n">
        <v>0.997608799617408</v>
      </c>
    </row>
    <row r="270" customFormat="false" ht="15" hidden="false" customHeight="false" outlineLevel="0" collapsed="false">
      <c r="A270" s="0" t="s">
        <v>91</v>
      </c>
      <c r="B270" s="0" t="s">
        <v>235</v>
      </c>
      <c r="C270" s="0" t="s">
        <v>181</v>
      </c>
      <c r="D270" s="0" t="n">
        <v>700</v>
      </c>
      <c r="E270" s="6" t="n">
        <v>0.998571428571429</v>
      </c>
      <c r="F270" s="6" t="n">
        <v>0.991952621292185</v>
      </c>
      <c r="G270" s="6" t="n">
        <v>0.999747784026285</v>
      </c>
      <c r="H270" s="7" t="n">
        <v>0.626</v>
      </c>
      <c r="I270" s="7" t="n">
        <v>0.956</v>
      </c>
      <c r="J270" s="6" t="n">
        <v>0.998569384835479</v>
      </c>
    </row>
    <row r="271" customFormat="false" ht="15" hidden="false" customHeight="false" outlineLevel="0" collapsed="false">
      <c r="A271" s="0" t="s">
        <v>91</v>
      </c>
      <c r="B271" s="0" t="s">
        <v>235</v>
      </c>
      <c r="C271" s="0" t="s">
        <v>182</v>
      </c>
      <c r="D271" s="0" t="n">
        <v>700</v>
      </c>
      <c r="E271" s="6" t="n">
        <v>0.995714285714286</v>
      </c>
      <c r="F271" s="6" t="n">
        <v>0.987475859383073</v>
      </c>
      <c r="G271" s="6" t="n">
        <v>0.99854144905678</v>
      </c>
      <c r="H271" s="7" t="n">
        <v>0.311</v>
      </c>
      <c r="I271" s="7" t="n">
        <v>0.692</v>
      </c>
      <c r="J271" s="6" t="n">
        <v>0.99713055954089</v>
      </c>
    </row>
    <row r="272" customFormat="false" ht="15" hidden="false" customHeight="false" outlineLevel="0" collapsed="false">
      <c r="A272" s="0" t="s">
        <v>91</v>
      </c>
      <c r="B272" s="0" t="s">
        <v>235</v>
      </c>
      <c r="C272" s="0" t="s">
        <v>183</v>
      </c>
      <c r="D272" s="0" t="n">
        <v>700</v>
      </c>
      <c r="E272" s="6" t="n">
        <v>1</v>
      </c>
      <c r="F272" s="6" t="n">
        <v>0.994541953757777</v>
      </c>
      <c r="G272" s="6" t="n">
        <v>1</v>
      </c>
      <c r="H272" s="7" t="n">
        <v>1.246</v>
      </c>
      <c r="I272" s="7" t="n">
        <v>1.635</v>
      </c>
      <c r="J272" s="6" t="n">
        <v>1</v>
      </c>
    </row>
    <row r="273" customFormat="false" ht="15" hidden="false" customHeight="false" outlineLevel="0" collapsed="false">
      <c r="A273" s="0" t="s">
        <v>91</v>
      </c>
      <c r="B273" s="0" t="s">
        <v>235</v>
      </c>
      <c r="C273" s="0" t="s">
        <v>184</v>
      </c>
      <c r="D273" s="0" t="n">
        <v>2100</v>
      </c>
      <c r="E273" s="6" t="n">
        <v>0.998095238095238</v>
      </c>
      <c r="F273" s="6" t="n">
        <v>0.995112393687503</v>
      </c>
      <c r="G273" s="6" t="n">
        <v>0.999259045683217</v>
      </c>
      <c r="H273" s="7" t="n">
        <v>0.645</v>
      </c>
      <c r="I273" s="7" t="n">
        <v>1.491</v>
      </c>
      <c r="J273" s="6" t="n">
        <v>0.998568702290076</v>
      </c>
    </row>
    <row r="274" customFormat="false" ht="15" hidden="false" customHeight="false" outlineLevel="0" collapsed="false">
      <c r="A274" s="0" t="s">
        <v>91</v>
      </c>
      <c r="B274" s="0" t="s">
        <v>236</v>
      </c>
      <c r="C274" s="0" t="s">
        <v>181</v>
      </c>
      <c r="D274" s="0" t="n">
        <v>700</v>
      </c>
      <c r="E274" s="6" t="n">
        <v>0.994285714285714</v>
      </c>
      <c r="F274" s="6" t="n">
        <v>0.985400075576777</v>
      </c>
      <c r="G274" s="6" t="n">
        <v>0.997775684423769</v>
      </c>
      <c r="H274" s="7" t="n">
        <v>0.6885</v>
      </c>
      <c r="I274" s="7" t="n">
        <v>1.177</v>
      </c>
      <c r="J274" s="6" t="n">
        <v>0.979885057471264</v>
      </c>
    </row>
    <row r="275" customFormat="false" ht="15" hidden="false" customHeight="false" outlineLevel="0" collapsed="false">
      <c r="A275" s="0" t="s">
        <v>91</v>
      </c>
      <c r="B275" s="0" t="s">
        <v>236</v>
      </c>
      <c r="C275" s="0" t="s">
        <v>182</v>
      </c>
      <c r="D275" s="0" t="n">
        <v>700</v>
      </c>
      <c r="E275" s="6" t="n">
        <v>0.985714285714286</v>
      </c>
      <c r="F275" s="6" t="n">
        <v>0.973904289668848</v>
      </c>
      <c r="G275" s="6" t="n">
        <v>0.99222217969585</v>
      </c>
      <c r="H275" s="7" t="n">
        <v>0.3955</v>
      </c>
      <c r="I275" s="7" t="n">
        <v>0.93</v>
      </c>
      <c r="J275" s="6" t="n">
        <v>0.96231884057971</v>
      </c>
    </row>
    <row r="276" customFormat="false" ht="15" hidden="false" customHeight="false" outlineLevel="0" collapsed="false">
      <c r="A276" s="0" t="s">
        <v>91</v>
      </c>
      <c r="B276" s="0" t="s">
        <v>236</v>
      </c>
      <c r="C276" s="0" t="s">
        <v>183</v>
      </c>
      <c r="D276" s="0" t="n">
        <v>700</v>
      </c>
      <c r="E276" s="6" t="n">
        <v>0.994285714285714</v>
      </c>
      <c r="F276" s="6" t="n">
        <v>0.985400075576777</v>
      </c>
      <c r="G276" s="6" t="n">
        <v>0.997775684423769</v>
      </c>
      <c r="H276" s="7" t="n">
        <v>1.3175</v>
      </c>
      <c r="I276" s="7" t="n">
        <v>1.776</v>
      </c>
      <c r="J276" s="6" t="n">
        <v>0.984195402298851</v>
      </c>
    </row>
    <row r="277" customFormat="false" ht="15" hidden="false" customHeight="false" outlineLevel="0" collapsed="false">
      <c r="A277" s="0" t="s">
        <v>91</v>
      </c>
      <c r="B277" s="0" t="s">
        <v>236</v>
      </c>
      <c r="C277" s="0" t="s">
        <v>184</v>
      </c>
      <c r="D277" s="0" t="n">
        <v>2100</v>
      </c>
      <c r="E277" s="6" t="n">
        <v>0.991428571428571</v>
      </c>
      <c r="F277" s="6" t="n">
        <v>0.986491122084587</v>
      </c>
      <c r="G277" s="6" t="n">
        <v>0.994571330525914</v>
      </c>
      <c r="H277" s="7" t="n">
        <v>0.715</v>
      </c>
      <c r="I277" s="7" t="n">
        <v>1.58</v>
      </c>
      <c r="J277" s="6" t="n">
        <v>0.975504322766571</v>
      </c>
    </row>
    <row r="278" customFormat="false" ht="15" hidden="false" customHeight="false" outlineLevel="0" collapsed="false">
      <c r="A278" s="0" t="s">
        <v>91</v>
      </c>
      <c r="B278" s="0" t="s">
        <v>237</v>
      </c>
      <c r="C278" s="0" t="s">
        <v>181</v>
      </c>
      <c r="D278" s="0" t="n">
        <v>700</v>
      </c>
      <c r="E278" s="6" t="n">
        <v>0.972857142857143</v>
      </c>
      <c r="F278" s="6" t="n">
        <v>0.957996740692028</v>
      </c>
      <c r="G278" s="6" t="n">
        <v>0.982555792718899</v>
      </c>
      <c r="H278" s="7" t="n">
        <v>0.742</v>
      </c>
      <c r="I278" s="7" t="n">
        <v>1.222</v>
      </c>
      <c r="J278" s="6" t="n">
        <v>0.995594713656388</v>
      </c>
    </row>
    <row r="279" customFormat="false" ht="15" hidden="false" customHeight="false" outlineLevel="0" collapsed="false">
      <c r="A279" s="0" t="s">
        <v>91</v>
      </c>
      <c r="B279" s="0" t="s">
        <v>237</v>
      </c>
      <c r="C279" s="0" t="s">
        <v>182</v>
      </c>
      <c r="D279" s="0" t="n">
        <v>700</v>
      </c>
      <c r="E279" s="6" t="n">
        <v>0.975714285714286</v>
      </c>
      <c r="F279" s="6" t="n">
        <v>0.961452692872833</v>
      </c>
      <c r="G279" s="6" t="n">
        <v>0.984782937416709</v>
      </c>
      <c r="H279" s="7" t="n">
        <v>0.441</v>
      </c>
      <c r="I279" s="7" t="n">
        <v>1.197</v>
      </c>
      <c r="J279" s="6" t="n">
        <v>0.995607613469985</v>
      </c>
    </row>
    <row r="280" customFormat="false" ht="15" hidden="false" customHeight="false" outlineLevel="0" collapsed="false">
      <c r="A280" s="0" t="s">
        <v>91</v>
      </c>
      <c r="B280" s="0" t="s">
        <v>237</v>
      </c>
      <c r="C280" s="0" t="s">
        <v>183</v>
      </c>
      <c r="D280" s="0" t="n">
        <v>700</v>
      </c>
      <c r="E280" s="6" t="n">
        <v>0.981428571428571</v>
      </c>
      <c r="F280" s="6" t="n">
        <v>0.968486560814195</v>
      </c>
      <c r="G280" s="6" t="n">
        <v>0.98911526323258</v>
      </c>
      <c r="H280" s="7" t="n">
        <v>1.051</v>
      </c>
      <c r="I280" s="7" t="n">
        <v>1.784</v>
      </c>
      <c r="J280" s="6" t="n">
        <v>0.998544395924309</v>
      </c>
    </row>
    <row r="281" customFormat="false" ht="15" hidden="false" customHeight="false" outlineLevel="0" collapsed="false">
      <c r="A281" s="0" t="s">
        <v>91</v>
      </c>
      <c r="B281" s="0" t="s">
        <v>237</v>
      </c>
      <c r="C281" s="0" t="s">
        <v>184</v>
      </c>
      <c r="D281" s="0" t="n">
        <v>2100</v>
      </c>
      <c r="E281" s="6" t="n">
        <v>0.976666666666667</v>
      </c>
      <c r="F281" s="6" t="n">
        <v>0.969287057834905</v>
      </c>
      <c r="G281" s="6" t="n">
        <v>0.982305495520823</v>
      </c>
      <c r="H281" s="7" t="n">
        <v>0.743</v>
      </c>
      <c r="I281" s="7" t="n">
        <v>1.671</v>
      </c>
      <c r="J281" s="6" t="n">
        <v>0.996587030716724</v>
      </c>
    </row>
    <row r="282" customFormat="false" ht="15" hidden="false" customHeight="false" outlineLevel="0" collapsed="false">
      <c r="A282" s="0" t="s">
        <v>91</v>
      </c>
      <c r="B282" s="0" t="s">
        <v>238</v>
      </c>
      <c r="C282" s="0" t="s">
        <v>181</v>
      </c>
      <c r="D282" s="0" t="n">
        <v>700</v>
      </c>
      <c r="E282" s="6" t="n">
        <v>0.998571428571429</v>
      </c>
      <c r="F282" s="6" t="n">
        <v>0.991952621292185</v>
      </c>
      <c r="G282" s="6" t="n">
        <v>0.999747784026285</v>
      </c>
      <c r="H282" s="7" t="n">
        <v>1.212</v>
      </c>
      <c r="I282" s="7" t="n">
        <v>1.855</v>
      </c>
      <c r="J282" s="6" t="n">
        <v>0.998569384835479</v>
      </c>
    </row>
    <row r="283" customFormat="false" ht="15" hidden="false" customHeight="false" outlineLevel="0" collapsed="false">
      <c r="A283" s="0" t="s">
        <v>91</v>
      </c>
      <c r="B283" s="0" t="s">
        <v>238</v>
      </c>
      <c r="C283" s="0" t="s">
        <v>182</v>
      </c>
      <c r="D283" s="0" t="n">
        <v>700</v>
      </c>
      <c r="E283" s="6" t="n">
        <v>0.998571428571429</v>
      </c>
      <c r="F283" s="6" t="n">
        <v>0.991952621292185</v>
      </c>
      <c r="G283" s="6" t="n">
        <v>0.999747784026285</v>
      </c>
      <c r="H283" s="7" t="n">
        <v>1.03</v>
      </c>
      <c r="I283" s="7" t="n">
        <v>2.327</v>
      </c>
      <c r="J283" s="6" t="n">
        <v>0.997138769670959</v>
      </c>
    </row>
    <row r="284" customFormat="false" ht="15" hidden="false" customHeight="false" outlineLevel="0" collapsed="false">
      <c r="A284" s="0" t="s">
        <v>91</v>
      </c>
      <c r="B284" s="0" t="s">
        <v>238</v>
      </c>
      <c r="C284" s="0" t="s">
        <v>183</v>
      </c>
      <c r="D284" s="0" t="n">
        <v>700</v>
      </c>
      <c r="E284" s="6" t="n">
        <v>0.997142857142857</v>
      </c>
      <c r="F284" s="6" t="n">
        <v>0.989642722089369</v>
      </c>
      <c r="G284" s="6" t="n">
        <v>0.999216134789793</v>
      </c>
      <c r="H284" s="7" t="n">
        <v>0.707</v>
      </c>
      <c r="I284" s="7" t="n">
        <v>1.233</v>
      </c>
      <c r="J284" s="6" t="n">
        <v>0.998567335243553</v>
      </c>
    </row>
    <row r="285" customFormat="false" ht="15" hidden="false" customHeight="false" outlineLevel="0" collapsed="false">
      <c r="A285" s="0" t="s">
        <v>91</v>
      </c>
      <c r="B285" s="0" t="s">
        <v>238</v>
      </c>
      <c r="C285" s="0" t="s">
        <v>184</v>
      </c>
      <c r="D285" s="0" t="n">
        <v>2100</v>
      </c>
      <c r="E285" s="6" t="n">
        <v>0.998095238095238</v>
      </c>
      <c r="F285" s="6" t="n">
        <v>0.995112393687503</v>
      </c>
      <c r="G285" s="6" t="n">
        <v>0.999259045683217</v>
      </c>
      <c r="H285" s="7" t="n">
        <v>1.0565</v>
      </c>
      <c r="I285" s="7" t="n">
        <v>1.826</v>
      </c>
      <c r="J285" s="6" t="n">
        <v>0.998091603053435</v>
      </c>
    </row>
    <row r="286" customFormat="false" ht="15" hidden="false" customHeight="false" outlineLevel="0" collapsed="false">
      <c r="A286" s="0" t="s">
        <v>91</v>
      </c>
      <c r="B286" s="0" t="s">
        <v>239</v>
      </c>
      <c r="C286" s="0" t="s">
        <v>181</v>
      </c>
      <c r="D286" s="0" t="n">
        <v>700</v>
      </c>
      <c r="E286" s="6" t="n">
        <v>1</v>
      </c>
      <c r="F286" s="6" t="n">
        <v>0.994541953757777</v>
      </c>
      <c r="G286" s="6" t="n">
        <v>1</v>
      </c>
      <c r="H286" s="7" t="n">
        <v>1.236</v>
      </c>
      <c r="I286" s="7" t="n">
        <v>2.299</v>
      </c>
      <c r="J286" s="6" t="n">
        <v>1</v>
      </c>
    </row>
    <row r="287" customFormat="false" ht="15" hidden="false" customHeight="false" outlineLevel="0" collapsed="false">
      <c r="A287" s="0" t="s">
        <v>91</v>
      </c>
      <c r="B287" s="0" t="s">
        <v>239</v>
      </c>
      <c r="C287" s="0" t="s">
        <v>182</v>
      </c>
      <c r="D287" s="0" t="n">
        <v>700</v>
      </c>
      <c r="E287" s="6" t="n">
        <v>0.997142857142857</v>
      </c>
      <c r="F287" s="6" t="n">
        <v>0.989642722089369</v>
      </c>
      <c r="G287" s="6" t="n">
        <v>0.999216134789793</v>
      </c>
      <c r="H287" s="7" t="n">
        <v>0.983</v>
      </c>
      <c r="I287" s="7" t="n">
        <v>2.527</v>
      </c>
      <c r="J287" s="6" t="n">
        <v>1</v>
      </c>
    </row>
    <row r="288" customFormat="false" ht="15" hidden="false" customHeight="false" outlineLevel="0" collapsed="false">
      <c r="A288" s="0" t="s">
        <v>91</v>
      </c>
      <c r="B288" s="0" t="s">
        <v>239</v>
      </c>
      <c r="C288" s="0" t="s">
        <v>183</v>
      </c>
      <c r="D288" s="0" t="n">
        <v>700</v>
      </c>
      <c r="E288" s="6" t="n">
        <v>0.998571428571429</v>
      </c>
      <c r="F288" s="6" t="n">
        <v>0.991952621292185</v>
      </c>
      <c r="G288" s="6" t="n">
        <v>0.999747784026285</v>
      </c>
      <c r="H288" s="7" t="n">
        <v>0.731</v>
      </c>
      <c r="I288" s="7" t="n">
        <v>1.927</v>
      </c>
      <c r="J288" s="6" t="n">
        <v>1</v>
      </c>
    </row>
    <row r="289" customFormat="false" ht="15" hidden="false" customHeight="false" outlineLevel="0" collapsed="false">
      <c r="A289" s="0" t="s">
        <v>91</v>
      </c>
      <c r="B289" s="0" t="s">
        <v>239</v>
      </c>
      <c r="C289" s="0" t="s">
        <v>184</v>
      </c>
      <c r="D289" s="0" t="n">
        <v>2100</v>
      </c>
      <c r="E289" s="6" t="n">
        <v>0.998571428571429</v>
      </c>
      <c r="F289" s="6" t="n">
        <v>0.995808031986912</v>
      </c>
      <c r="G289" s="6" t="n">
        <v>0.999514049295253</v>
      </c>
      <c r="H289" s="7" t="n">
        <v>1.07</v>
      </c>
      <c r="I289" s="7" t="n">
        <v>2.29</v>
      </c>
      <c r="J289" s="6" t="n">
        <v>1</v>
      </c>
    </row>
    <row r="290" customFormat="false" ht="15" hidden="false" customHeight="false" outlineLevel="0" collapsed="false">
      <c r="A290" s="0" t="s">
        <v>102</v>
      </c>
      <c r="B290" s="0" t="s">
        <v>228</v>
      </c>
      <c r="C290" s="0" t="s">
        <v>181</v>
      </c>
      <c r="D290" s="0" t="n">
        <v>700</v>
      </c>
      <c r="E290" s="6" t="n">
        <v>0.998571428571429</v>
      </c>
      <c r="F290" s="6" t="n">
        <v>0.991952621292185</v>
      </c>
      <c r="G290" s="6" t="n">
        <v>0.999747784026285</v>
      </c>
      <c r="H290" s="7" t="n">
        <v>0.397</v>
      </c>
      <c r="I290" s="7" t="n">
        <v>0.969</v>
      </c>
      <c r="J290" s="6" t="n">
        <v>1</v>
      </c>
    </row>
    <row r="291" customFormat="false" ht="15" hidden="false" customHeight="false" outlineLevel="0" collapsed="false">
      <c r="A291" s="0" t="s">
        <v>102</v>
      </c>
      <c r="B291" s="0" t="s">
        <v>228</v>
      </c>
      <c r="C291" s="0" t="s">
        <v>182</v>
      </c>
      <c r="D291" s="0" t="n">
        <v>700</v>
      </c>
      <c r="E291" s="6" t="n">
        <v>0.997142857142857</v>
      </c>
      <c r="F291" s="6" t="n">
        <v>0.989642722089369</v>
      </c>
      <c r="G291" s="6" t="n">
        <v>0.999216134789793</v>
      </c>
      <c r="H291" s="7" t="n">
        <v>0.674</v>
      </c>
      <c r="I291" s="7" t="n">
        <v>1.252</v>
      </c>
      <c r="J291" s="6" t="n">
        <v>0.998567335243553</v>
      </c>
    </row>
    <row r="292" customFormat="false" ht="15" hidden="false" customHeight="false" outlineLevel="0" collapsed="false">
      <c r="A292" s="0" t="s">
        <v>102</v>
      </c>
      <c r="B292" s="0" t="s">
        <v>228</v>
      </c>
      <c r="C292" s="0" t="s">
        <v>183</v>
      </c>
      <c r="D292" s="0" t="n">
        <v>700</v>
      </c>
      <c r="E292" s="6" t="n">
        <v>0.994285714285714</v>
      </c>
      <c r="F292" s="6" t="n">
        <v>0.985400075576777</v>
      </c>
      <c r="G292" s="6" t="n">
        <v>0.997775684423769</v>
      </c>
      <c r="H292" s="7" t="n">
        <v>1.1555</v>
      </c>
      <c r="I292" s="7" t="n">
        <v>2.256</v>
      </c>
      <c r="J292" s="6" t="n">
        <v>0.998563218390805</v>
      </c>
    </row>
    <row r="293" customFormat="false" ht="15" hidden="false" customHeight="false" outlineLevel="0" collapsed="false">
      <c r="A293" s="0" t="s">
        <v>102</v>
      </c>
      <c r="B293" s="0" t="s">
        <v>228</v>
      </c>
      <c r="C293" s="0" t="s">
        <v>184</v>
      </c>
      <c r="D293" s="0" t="n">
        <v>2100</v>
      </c>
      <c r="E293" s="6" t="n">
        <v>0.996666666666667</v>
      </c>
      <c r="F293" s="6" t="n">
        <v>0.993135096851519</v>
      </c>
      <c r="G293" s="6" t="n">
        <v>0.99838441678487</v>
      </c>
      <c r="H293" s="7" t="n">
        <v>0.756</v>
      </c>
      <c r="I293" s="7" t="n">
        <v>1.486</v>
      </c>
      <c r="J293" s="6" t="n">
        <v>0.999044433827043</v>
      </c>
    </row>
    <row r="294" customFormat="false" ht="15" hidden="false" customHeight="false" outlineLevel="0" collapsed="false">
      <c r="A294" s="0" t="s">
        <v>102</v>
      </c>
      <c r="B294" s="0" t="s">
        <v>229</v>
      </c>
      <c r="C294" s="0" t="s">
        <v>181</v>
      </c>
      <c r="D294" s="0" t="n">
        <v>700</v>
      </c>
      <c r="E294" s="6" t="n">
        <v>0.997142857142857</v>
      </c>
      <c r="F294" s="6" t="n">
        <v>0.989642722089369</v>
      </c>
      <c r="G294" s="6" t="n">
        <v>0.999216134789793</v>
      </c>
      <c r="H294" s="7" t="n">
        <v>0.517</v>
      </c>
      <c r="I294" s="7" t="n">
        <v>0.939</v>
      </c>
      <c r="J294" s="6" t="n">
        <v>0.998567335243553</v>
      </c>
    </row>
    <row r="295" customFormat="false" ht="15" hidden="false" customHeight="false" outlineLevel="0" collapsed="false">
      <c r="A295" s="0" t="s">
        <v>102</v>
      </c>
      <c r="B295" s="0" t="s">
        <v>229</v>
      </c>
      <c r="C295" s="0" t="s">
        <v>182</v>
      </c>
      <c r="D295" s="0" t="n">
        <v>700</v>
      </c>
      <c r="E295" s="6" t="n">
        <v>0.995714285714286</v>
      </c>
      <c r="F295" s="6" t="n">
        <v>0.987475859383073</v>
      </c>
      <c r="G295" s="6" t="n">
        <v>0.99854144905678</v>
      </c>
      <c r="H295" s="7" t="n">
        <v>0.298</v>
      </c>
      <c r="I295" s="7" t="n">
        <v>0.642</v>
      </c>
      <c r="J295" s="6" t="n">
        <v>1</v>
      </c>
    </row>
    <row r="296" customFormat="false" ht="15" hidden="false" customHeight="false" outlineLevel="0" collapsed="false">
      <c r="A296" s="0" t="s">
        <v>102</v>
      </c>
      <c r="B296" s="0" t="s">
        <v>229</v>
      </c>
      <c r="C296" s="0" t="s">
        <v>183</v>
      </c>
      <c r="D296" s="0" t="n">
        <v>700</v>
      </c>
      <c r="E296" s="6" t="n">
        <v>0.997142857142857</v>
      </c>
      <c r="F296" s="6" t="n">
        <v>0.989642722089369</v>
      </c>
      <c r="G296" s="6" t="n">
        <v>0.999216134789793</v>
      </c>
      <c r="H296" s="7" t="n">
        <v>0.774</v>
      </c>
      <c r="I296" s="7" t="n">
        <v>1.285</v>
      </c>
      <c r="J296" s="6" t="n">
        <v>1</v>
      </c>
    </row>
    <row r="297" customFormat="false" ht="15" hidden="false" customHeight="false" outlineLevel="0" collapsed="false">
      <c r="A297" s="0" t="s">
        <v>102</v>
      </c>
      <c r="B297" s="0" t="s">
        <v>229</v>
      </c>
      <c r="C297" s="0" t="s">
        <v>184</v>
      </c>
      <c r="D297" s="0" t="n">
        <v>2100</v>
      </c>
      <c r="E297" s="6" t="n">
        <v>0.996666666666667</v>
      </c>
      <c r="F297" s="6" t="n">
        <v>0.993135096851519</v>
      </c>
      <c r="G297" s="6" t="n">
        <v>0.99838441678487</v>
      </c>
      <c r="H297" s="7" t="n">
        <v>0.574</v>
      </c>
      <c r="I297" s="7" t="n">
        <v>1.067</v>
      </c>
      <c r="J297" s="6" t="n">
        <v>0.999522216913521</v>
      </c>
    </row>
    <row r="298" customFormat="false" ht="15" hidden="false" customHeight="false" outlineLevel="0" collapsed="false">
      <c r="A298" s="0" t="s">
        <v>102</v>
      </c>
      <c r="B298" s="0" t="s">
        <v>230</v>
      </c>
      <c r="C298" s="0" t="s">
        <v>181</v>
      </c>
      <c r="D298" s="0" t="n">
        <v>700</v>
      </c>
      <c r="E298" s="6" t="n">
        <v>0.997142857142857</v>
      </c>
      <c r="F298" s="6" t="n">
        <v>0.989642722089369</v>
      </c>
      <c r="G298" s="6" t="n">
        <v>0.999216134789793</v>
      </c>
      <c r="H298" s="7" t="n">
        <v>0.5135</v>
      </c>
      <c r="I298" s="7" t="n">
        <v>0.791</v>
      </c>
      <c r="J298" s="6" t="n">
        <v>0.998567335243553</v>
      </c>
    </row>
    <row r="299" customFormat="false" ht="15" hidden="false" customHeight="false" outlineLevel="0" collapsed="false">
      <c r="A299" s="0" t="s">
        <v>102</v>
      </c>
      <c r="B299" s="0" t="s">
        <v>230</v>
      </c>
      <c r="C299" s="0" t="s">
        <v>182</v>
      </c>
      <c r="D299" s="0" t="n">
        <v>700</v>
      </c>
      <c r="E299" s="6" t="n">
        <v>0.998571428571429</v>
      </c>
      <c r="F299" s="6" t="n">
        <v>0.991952621292185</v>
      </c>
      <c r="G299" s="6" t="n">
        <v>0.999747784026285</v>
      </c>
      <c r="H299" s="7" t="n">
        <v>0.309</v>
      </c>
      <c r="I299" s="7" t="n">
        <v>0.691</v>
      </c>
      <c r="J299" s="6" t="n">
        <v>1</v>
      </c>
    </row>
    <row r="300" customFormat="false" ht="15" hidden="false" customHeight="false" outlineLevel="0" collapsed="false">
      <c r="A300" s="0" t="s">
        <v>102</v>
      </c>
      <c r="B300" s="0" t="s">
        <v>230</v>
      </c>
      <c r="C300" s="0" t="s">
        <v>183</v>
      </c>
      <c r="D300" s="0" t="n">
        <v>700</v>
      </c>
      <c r="E300" s="6" t="n">
        <v>1</v>
      </c>
      <c r="F300" s="6" t="n">
        <v>0.994541953757777</v>
      </c>
      <c r="G300" s="6" t="n">
        <v>1</v>
      </c>
      <c r="H300" s="7" t="n">
        <v>0.7865</v>
      </c>
      <c r="I300" s="7" t="n">
        <v>1.135</v>
      </c>
      <c r="J300" s="6" t="n">
        <v>1</v>
      </c>
    </row>
    <row r="301" customFormat="false" ht="15" hidden="false" customHeight="false" outlineLevel="0" collapsed="false">
      <c r="A301" s="0" t="s">
        <v>102</v>
      </c>
      <c r="B301" s="0" t="s">
        <v>230</v>
      </c>
      <c r="C301" s="0" t="s">
        <v>184</v>
      </c>
      <c r="D301" s="0" t="n">
        <v>2100</v>
      </c>
      <c r="E301" s="6" t="n">
        <v>0.998571428571429</v>
      </c>
      <c r="F301" s="6" t="n">
        <v>0.995808031986912</v>
      </c>
      <c r="G301" s="6" t="n">
        <v>0.999514049295253</v>
      </c>
      <c r="H301" s="7" t="n">
        <v>0.556</v>
      </c>
      <c r="I301" s="7" t="n">
        <v>0.936</v>
      </c>
      <c r="J301" s="6" t="n">
        <v>0.999523128278493</v>
      </c>
    </row>
    <row r="302" customFormat="false" ht="15" hidden="false" customHeight="false" outlineLevel="0" collapsed="false">
      <c r="A302" s="0" t="s">
        <v>102</v>
      </c>
      <c r="B302" s="0" t="s">
        <v>231</v>
      </c>
      <c r="C302" s="0" t="s">
        <v>181</v>
      </c>
      <c r="D302" s="0" t="n">
        <v>700</v>
      </c>
      <c r="E302" s="6" t="n">
        <v>0.998571428571429</v>
      </c>
      <c r="F302" s="6" t="n">
        <v>0.991952621292185</v>
      </c>
      <c r="G302" s="6" t="n">
        <v>0.999747784026285</v>
      </c>
      <c r="H302" s="7" t="n">
        <v>0.476</v>
      </c>
      <c r="I302" s="7" t="n">
        <v>0.769</v>
      </c>
      <c r="J302" s="6" t="n">
        <v>0.998569384835479</v>
      </c>
    </row>
    <row r="303" customFormat="false" ht="15" hidden="false" customHeight="false" outlineLevel="0" collapsed="false">
      <c r="A303" s="0" t="s">
        <v>102</v>
      </c>
      <c r="B303" s="0" t="s">
        <v>231</v>
      </c>
      <c r="C303" s="0" t="s">
        <v>182</v>
      </c>
      <c r="D303" s="0" t="n">
        <v>700</v>
      </c>
      <c r="E303" s="6" t="n">
        <v>0.998571428571429</v>
      </c>
      <c r="F303" s="6" t="n">
        <v>0.991952621292185</v>
      </c>
      <c r="G303" s="6" t="n">
        <v>0.999747784026285</v>
      </c>
      <c r="H303" s="7" t="n">
        <v>0.262</v>
      </c>
      <c r="I303" s="7" t="n">
        <v>0.661</v>
      </c>
      <c r="J303" s="6" t="n">
        <v>1</v>
      </c>
    </row>
    <row r="304" customFormat="false" ht="15" hidden="false" customHeight="false" outlineLevel="0" collapsed="false">
      <c r="A304" s="0" t="s">
        <v>102</v>
      </c>
      <c r="B304" s="0" t="s">
        <v>231</v>
      </c>
      <c r="C304" s="0" t="s">
        <v>183</v>
      </c>
      <c r="D304" s="0" t="n">
        <v>700</v>
      </c>
      <c r="E304" s="6" t="n">
        <v>1</v>
      </c>
      <c r="F304" s="6" t="n">
        <v>0.994541953757777</v>
      </c>
      <c r="G304" s="6" t="n">
        <v>1</v>
      </c>
      <c r="H304" s="7" t="n">
        <v>0.732</v>
      </c>
      <c r="I304" s="7" t="n">
        <v>1.182</v>
      </c>
      <c r="J304" s="6" t="n">
        <v>1</v>
      </c>
    </row>
    <row r="305" customFormat="false" ht="15" hidden="false" customHeight="false" outlineLevel="0" collapsed="false">
      <c r="A305" s="0" t="s">
        <v>102</v>
      </c>
      <c r="B305" s="0" t="s">
        <v>231</v>
      </c>
      <c r="C305" s="0" t="s">
        <v>184</v>
      </c>
      <c r="D305" s="0" t="n">
        <v>2100</v>
      </c>
      <c r="E305" s="6" t="n">
        <v>0.999047619047619</v>
      </c>
      <c r="F305" s="6" t="n">
        <v>0.996533933798472</v>
      </c>
      <c r="G305" s="6" t="n">
        <v>0.999738789395138</v>
      </c>
      <c r="H305" s="7" t="n">
        <v>0.5175</v>
      </c>
      <c r="I305" s="7" t="n">
        <v>0.927</v>
      </c>
      <c r="J305" s="6" t="n">
        <v>0.99952335557674</v>
      </c>
    </row>
    <row r="306" customFormat="false" ht="15" hidden="false" customHeight="false" outlineLevel="0" collapsed="false">
      <c r="A306" s="0" t="s">
        <v>102</v>
      </c>
      <c r="B306" s="0" t="s">
        <v>232</v>
      </c>
      <c r="C306" s="0" t="s">
        <v>181</v>
      </c>
      <c r="D306" s="0" t="n">
        <v>700</v>
      </c>
      <c r="E306" s="6" t="n">
        <v>1</v>
      </c>
      <c r="F306" s="6" t="n">
        <v>0.994541953757777</v>
      </c>
      <c r="G306" s="6" t="n">
        <v>1</v>
      </c>
      <c r="H306" s="7" t="n">
        <v>0.568</v>
      </c>
      <c r="I306" s="7" t="n">
        <v>0.963</v>
      </c>
      <c r="J306" s="6" t="n">
        <v>1</v>
      </c>
    </row>
    <row r="307" customFormat="false" ht="15" hidden="false" customHeight="false" outlineLevel="0" collapsed="false">
      <c r="A307" s="0" t="s">
        <v>102</v>
      </c>
      <c r="B307" s="0" t="s">
        <v>232</v>
      </c>
      <c r="C307" s="0" t="s">
        <v>182</v>
      </c>
      <c r="D307" s="0" t="n">
        <v>700</v>
      </c>
      <c r="E307" s="6" t="n">
        <v>0.997142857142857</v>
      </c>
      <c r="F307" s="6" t="n">
        <v>0.989642722089369</v>
      </c>
      <c r="G307" s="6" t="n">
        <v>0.999216134789793</v>
      </c>
      <c r="H307" s="7" t="n">
        <v>0.3465</v>
      </c>
      <c r="I307" s="7" t="n">
        <v>0.627</v>
      </c>
      <c r="J307" s="6" t="n">
        <v>1</v>
      </c>
    </row>
    <row r="308" customFormat="false" ht="15" hidden="false" customHeight="false" outlineLevel="0" collapsed="false">
      <c r="A308" s="0" t="s">
        <v>102</v>
      </c>
      <c r="B308" s="0" t="s">
        <v>232</v>
      </c>
      <c r="C308" s="0" t="s">
        <v>183</v>
      </c>
      <c r="D308" s="0" t="n">
        <v>700</v>
      </c>
      <c r="E308" s="6" t="n">
        <v>1</v>
      </c>
      <c r="F308" s="6" t="n">
        <v>0.994541953757777</v>
      </c>
      <c r="G308" s="6" t="n">
        <v>1</v>
      </c>
      <c r="H308" s="7" t="n">
        <v>0.832</v>
      </c>
      <c r="I308" s="7" t="n">
        <v>1.358</v>
      </c>
      <c r="J308" s="6" t="n">
        <v>0.998571428571429</v>
      </c>
    </row>
    <row r="309" customFormat="false" ht="15" hidden="false" customHeight="false" outlineLevel="0" collapsed="false">
      <c r="A309" s="0" t="s">
        <v>102</v>
      </c>
      <c r="B309" s="0" t="s">
        <v>232</v>
      </c>
      <c r="C309" s="0" t="s">
        <v>184</v>
      </c>
      <c r="D309" s="0" t="n">
        <v>2100</v>
      </c>
      <c r="E309" s="6" t="n">
        <v>0.999047619047619</v>
      </c>
      <c r="F309" s="6" t="n">
        <v>0.996533933798472</v>
      </c>
      <c r="G309" s="6" t="n">
        <v>0.999738789395138</v>
      </c>
      <c r="H309" s="7" t="n">
        <v>0.619</v>
      </c>
      <c r="I309" s="7" t="n">
        <v>1.049</v>
      </c>
      <c r="J309" s="6" t="n">
        <v>0.99952335557674</v>
      </c>
    </row>
    <row r="310" customFormat="false" ht="15" hidden="false" customHeight="false" outlineLevel="0" collapsed="false">
      <c r="A310" s="0" t="s">
        <v>102</v>
      </c>
      <c r="B310" s="0" t="s">
        <v>233</v>
      </c>
      <c r="C310" s="0" t="s">
        <v>181</v>
      </c>
      <c r="D310" s="0" t="n">
        <v>700</v>
      </c>
      <c r="E310" s="6" t="n">
        <v>1</v>
      </c>
      <c r="F310" s="6" t="n">
        <v>0.994541953757777</v>
      </c>
      <c r="G310" s="6" t="n">
        <v>1</v>
      </c>
      <c r="H310" s="7" t="n">
        <v>0.677</v>
      </c>
      <c r="I310" s="7" t="n">
        <v>1.184</v>
      </c>
      <c r="J310" s="6" t="n">
        <v>1</v>
      </c>
    </row>
    <row r="311" customFormat="false" ht="15" hidden="false" customHeight="false" outlineLevel="0" collapsed="false">
      <c r="A311" s="0" t="s">
        <v>102</v>
      </c>
      <c r="B311" s="0" t="s">
        <v>233</v>
      </c>
      <c r="C311" s="0" t="s">
        <v>182</v>
      </c>
      <c r="D311" s="0" t="n">
        <v>700</v>
      </c>
      <c r="E311" s="6" t="n">
        <v>1</v>
      </c>
      <c r="F311" s="6" t="n">
        <v>0.994541953757777</v>
      </c>
      <c r="G311" s="6" t="n">
        <v>1</v>
      </c>
      <c r="H311" s="7" t="n">
        <v>1.021</v>
      </c>
      <c r="I311" s="7" t="n">
        <v>1.639</v>
      </c>
      <c r="J311" s="6" t="n">
        <v>1</v>
      </c>
    </row>
    <row r="312" customFormat="false" ht="15" hidden="false" customHeight="false" outlineLevel="0" collapsed="false">
      <c r="A312" s="0" t="s">
        <v>102</v>
      </c>
      <c r="B312" s="0" t="s">
        <v>233</v>
      </c>
      <c r="C312" s="0" t="s">
        <v>183</v>
      </c>
      <c r="D312" s="0" t="n">
        <v>700</v>
      </c>
      <c r="E312" s="6" t="n">
        <v>0.998571428571429</v>
      </c>
      <c r="F312" s="6" t="n">
        <v>0.991952621292185</v>
      </c>
      <c r="G312" s="6" t="n">
        <v>0.999747784026285</v>
      </c>
      <c r="H312" s="7" t="n">
        <v>1.466</v>
      </c>
      <c r="I312" s="7" t="n">
        <v>2.052</v>
      </c>
      <c r="J312" s="6" t="n">
        <v>1</v>
      </c>
    </row>
    <row r="313" customFormat="false" ht="15" hidden="false" customHeight="false" outlineLevel="0" collapsed="false">
      <c r="A313" s="0" t="s">
        <v>102</v>
      </c>
      <c r="B313" s="0" t="s">
        <v>233</v>
      </c>
      <c r="C313" s="0" t="s">
        <v>184</v>
      </c>
      <c r="D313" s="0" t="n">
        <v>2100</v>
      </c>
      <c r="E313" s="6" t="n">
        <v>0.99952380952381</v>
      </c>
      <c r="F313" s="6" t="n">
        <v>0.997307427200723</v>
      </c>
      <c r="G313" s="6" t="n">
        <v>0.999915937904331</v>
      </c>
      <c r="H313" s="7" t="n">
        <v>1.113</v>
      </c>
      <c r="I313" s="7" t="n">
        <v>1.753</v>
      </c>
      <c r="J313" s="6" t="n">
        <v>1</v>
      </c>
    </row>
    <row r="314" customFormat="false" ht="15" hidden="false" customHeight="false" outlineLevel="0" collapsed="false">
      <c r="A314" s="0" t="s">
        <v>102</v>
      </c>
      <c r="B314" s="0" t="s">
        <v>234</v>
      </c>
      <c r="C314" s="0" t="s">
        <v>181</v>
      </c>
      <c r="D314" s="0" t="n">
        <v>700</v>
      </c>
      <c r="E314" s="6" t="n">
        <v>0.998571428571429</v>
      </c>
      <c r="F314" s="6" t="n">
        <v>0.991952621292185</v>
      </c>
      <c r="G314" s="6" t="n">
        <v>0.999747784026285</v>
      </c>
      <c r="H314" s="7" t="n">
        <v>1.154</v>
      </c>
      <c r="I314" s="7" t="n">
        <v>1.758</v>
      </c>
      <c r="J314" s="6" t="n">
        <v>1</v>
      </c>
    </row>
    <row r="315" customFormat="false" ht="15" hidden="false" customHeight="false" outlineLevel="0" collapsed="false">
      <c r="A315" s="0" t="s">
        <v>102</v>
      </c>
      <c r="B315" s="0" t="s">
        <v>234</v>
      </c>
      <c r="C315" s="0" t="s">
        <v>182</v>
      </c>
      <c r="D315" s="0" t="n">
        <v>700</v>
      </c>
      <c r="E315" s="6" t="n">
        <v>1</v>
      </c>
      <c r="F315" s="6" t="n">
        <v>0.994541953757777</v>
      </c>
      <c r="G315" s="6" t="n">
        <v>1</v>
      </c>
      <c r="H315" s="7" t="n">
        <v>0.97</v>
      </c>
      <c r="I315" s="7" t="n">
        <v>1.598</v>
      </c>
      <c r="J315" s="6" t="n">
        <v>1</v>
      </c>
    </row>
    <row r="316" customFormat="false" ht="15" hidden="false" customHeight="false" outlineLevel="0" collapsed="false">
      <c r="A316" s="0" t="s">
        <v>102</v>
      </c>
      <c r="B316" s="0" t="s">
        <v>234</v>
      </c>
      <c r="C316" s="0" t="s">
        <v>183</v>
      </c>
      <c r="D316" s="0" t="n">
        <v>700</v>
      </c>
      <c r="E316" s="6" t="n">
        <v>1</v>
      </c>
      <c r="F316" s="6" t="n">
        <v>0.994541953757777</v>
      </c>
      <c r="G316" s="6" t="n">
        <v>1</v>
      </c>
      <c r="H316" s="7" t="n">
        <v>0.389</v>
      </c>
      <c r="I316" s="7" t="n">
        <v>0.926</v>
      </c>
      <c r="J316" s="6" t="n">
        <v>0.998571428571429</v>
      </c>
    </row>
    <row r="317" customFormat="false" ht="15" hidden="false" customHeight="false" outlineLevel="0" collapsed="false">
      <c r="A317" s="0" t="s">
        <v>102</v>
      </c>
      <c r="B317" s="0" t="s">
        <v>234</v>
      </c>
      <c r="C317" s="0" t="s">
        <v>184</v>
      </c>
      <c r="D317" s="0" t="n">
        <v>2100</v>
      </c>
      <c r="E317" s="6" t="n">
        <v>0.99952380952381</v>
      </c>
      <c r="F317" s="6" t="n">
        <v>0.997307427200723</v>
      </c>
      <c r="G317" s="6" t="n">
        <v>0.999915937904331</v>
      </c>
      <c r="H317" s="7" t="n">
        <v>0.981</v>
      </c>
      <c r="I317" s="7" t="n">
        <v>1.547</v>
      </c>
      <c r="J317" s="6" t="n">
        <v>0.999523582658409</v>
      </c>
    </row>
    <row r="318" customFormat="false" ht="15" hidden="false" customHeight="false" outlineLevel="0" collapsed="false">
      <c r="A318" s="0" t="s">
        <v>102</v>
      </c>
      <c r="B318" s="0" t="s">
        <v>235</v>
      </c>
      <c r="C318" s="0" t="s">
        <v>181</v>
      </c>
      <c r="D318" s="0" t="n">
        <v>700</v>
      </c>
      <c r="E318" s="6" t="n">
        <v>1</v>
      </c>
      <c r="F318" s="6" t="n">
        <v>0.994541953757777</v>
      </c>
      <c r="G318" s="6" t="n">
        <v>1</v>
      </c>
      <c r="H318" s="7" t="n">
        <v>0.494</v>
      </c>
      <c r="I318" s="7" t="n">
        <v>0.984</v>
      </c>
      <c r="J318" s="6" t="n">
        <v>0.965714285714286</v>
      </c>
    </row>
    <row r="319" customFormat="false" ht="15" hidden="false" customHeight="false" outlineLevel="0" collapsed="false">
      <c r="A319" s="0" t="s">
        <v>102</v>
      </c>
      <c r="B319" s="0" t="s">
        <v>235</v>
      </c>
      <c r="C319" s="0" t="s">
        <v>182</v>
      </c>
      <c r="D319" s="0" t="n">
        <v>700</v>
      </c>
      <c r="E319" s="6" t="n">
        <v>1</v>
      </c>
      <c r="F319" s="6" t="n">
        <v>0.994541953757777</v>
      </c>
      <c r="G319" s="6" t="n">
        <v>1</v>
      </c>
      <c r="H319" s="7" t="n">
        <v>0.284</v>
      </c>
      <c r="I319" s="7" t="n">
        <v>0.941</v>
      </c>
      <c r="J319" s="6" t="n">
        <v>0.952857142857143</v>
      </c>
    </row>
    <row r="320" customFormat="false" ht="15" hidden="false" customHeight="false" outlineLevel="0" collapsed="false">
      <c r="A320" s="0" t="s">
        <v>102</v>
      </c>
      <c r="B320" s="0" t="s">
        <v>235</v>
      </c>
      <c r="C320" s="0" t="s">
        <v>183</v>
      </c>
      <c r="D320" s="0" t="n">
        <v>700</v>
      </c>
      <c r="E320" s="6" t="n">
        <v>0.998571428571429</v>
      </c>
      <c r="F320" s="6" t="n">
        <v>0.991952621292185</v>
      </c>
      <c r="G320" s="6" t="n">
        <v>0.999747784026285</v>
      </c>
      <c r="H320" s="7" t="n">
        <v>0.775</v>
      </c>
      <c r="I320" s="7" t="n">
        <v>1.393</v>
      </c>
      <c r="J320" s="6" t="n">
        <v>0.968526466380544</v>
      </c>
    </row>
    <row r="321" customFormat="false" ht="15" hidden="false" customHeight="false" outlineLevel="0" collapsed="false">
      <c r="A321" s="0" t="s">
        <v>102</v>
      </c>
      <c r="B321" s="0" t="s">
        <v>235</v>
      </c>
      <c r="C321" s="0" t="s">
        <v>184</v>
      </c>
      <c r="D321" s="0" t="n">
        <v>2100</v>
      </c>
      <c r="E321" s="6" t="n">
        <v>0.99952380952381</v>
      </c>
      <c r="F321" s="6" t="n">
        <v>0.997307427200723</v>
      </c>
      <c r="G321" s="6" t="n">
        <v>0.999915937904331</v>
      </c>
      <c r="H321" s="7" t="n">
        <v>0.564</v>
      </c>
      <c r="I321" s="7" t="n">
        <v>1.192</v>
      </c>
      <c r="J321" s="6" t="n">
        <v>0.962363030014293</v>
      </c>
    </row>
    <row r="322" customFormat="false" ht="15" hidden="false" customHeight="false" outlineLevel="0" collapsed="false">
      <c r="A322" s="0" t="s">
        <v>102</v>
      </c>
      <c r="B322" s="0" t="s">
        <v>236</v>
      </c>
      <c r="C322" s="0" t="s">
        <v>181</v>
      </c>
      <c r="D322" s="0" t="n">
        <v>700</v>
      </c>
      <c r="E322" s="6" t="n">
        <v>0.995714285714286</v>
      </c>
      <c r="F322" s="6" t="n">
        <v>0.987475859383073</v>
      </c>
      <c r="G322" s="6" t="n">
        <v>0.99854144905678</v>
      </c>
      <c r="H322" s="7" t="n">
        <v>0.588</v>
      </c>
      <c r="I322" s="7" t="n">
        <v>0.96</v>
      </c>
      <c r="J322" s="6" t="n">
        <v>0.968436154949785</v>
      </c>
    </row>
    <row r="323" customFormat="false" ht="15" hidden="false" customHeight="false" outlineLevel="0" collapsed="false">
      <c r="A323" s="0" t="s">
        <v>102</v>
      </c>
      <c r="B323" s="0" t="s">
        <v>236</v>
      </c>
      <c r="C323" s="0" t="s">
        <v>182</v>
      </c>
      <c r="D323" s="0" t="n">
        <v>700</v>
      </c>
      <c r="E323" s="6" t="n">
        <v>0.994285714285714</v>
      </c>
      <c r="F323" s="6" t="n">
        <v>0.985400075576777</v>
      </c>
      <c r="G323" s="6" t="n">
        <v>0.997775684423769</v>
      </c>
      <c r="H323" s="7" t="n">
        <v>0.359</v>
      </c>
      <c r="I323" s="7" t="n">
        <v>0.696</v>
      </c>
      <c r="J323" s="6" t="n">
        <v>0.96264367816092</v>
      </c>
    </row>
    <row r="324" customFormat="false" ht="15" hidden="false" customHeight="false" outlineLevel="0" collapsed="false">
      <c r="A324" s="0" t="s">
        <v>102</v>
      </c>
      <c r="B324" s="0" t="s">
        <v>236</v>
      </c>
      <c r="C324" s="0" t="s">
        <v>183</v>
      </c>
      <c r="D324" s="0" t="n">
        <v>700</v>
      </c>
      <c r="E324" s="6" t="n">
        <v>0.995714285714286</v>
      </c>
      <c r="F324" s="6" t="n">
        <v>0.987475859383073</v>
      </c>
      <c r="G324" s="6" t="n">
        <v>0.99854144905678</v>
      </c>
      <c r="H324" s="7" t="n">
        <v>0.854</v>
      </c>
      <c r="I324" s="7" t="n">
        <v>1.356</v>
      </c>
      <c r="J324" s="6" t="n">
        <v>0.954088952654232</v>
      </c>
    </row>
    <row r="325" customFormat="false" ht="15" hidden="false" customHeight="false" outlineLevel="0" collapsed="false">
      <c r="A325" s="0" t="s">
        <v>102</v>
      </c>
      <c r="B325" s="0" t="s">
        <v>236</v>
      </c>
      <c r="C325" s="0" t="s">
        <v>184</v>
      </c>
      <c r="D325" s="0" t="n">
        <v>2100</v>
      </c>
      <c r="E325" s="6" t="n">
        <v>0.995238095238095</v>
      </c>
      <c r="F325" s="6" t="n">
        <v>0.991256204023089</v>
      </c>
      <c r="G325" s="6" t="n">
        <v>0.997411383878966</v>
      </c>
      <c r="H325" s="7" t="n">
        <v>0.6425</v>
      </c>
      <c r="I325" s="7" t="n">
        <v>1.105</v>
      </c>
      <c r="J325" s="6" t="n">
        <v>0.961722488038278</v>
      </c>
    </row>
    <row r="326" customFormat="false" ht="15" hidden="false" customHeight="false" outlineLevel="0" collapsed="false">
      <c r="A326" s="0" t="s">
        <v>102</v>
      </c>
      <c r="B326" s="0" t="s">
        <v>237</v>
      </c>
      <c r="C326" s="0" t="s">
        <v>181</v>
      </c>
      <c r="D326" s="0" t="n">
        <v>700</v>
      </c>
      <c r="E326" s="6" t="n">
        <v>0.997142857142857</v>
      </c>
      <c r="F326" s="6" t="n">
        <v>0.989642722089369</v>
      </c>
      <c r="G326" s="6" t="n">
        <v>0.999216134789793</v>
      </c>
      <c r="H326" s="7" t="n">
        <v>0.672</v>
      </c>
      <c r="I326" s="7" t="n">
        <v>1.38</v>
      </c>
      <c r="J326" s="6" t="n">
        <v>0.992836676217765</v>
      </c>
    </row>
    <row r="327" customFormat="false" ht="15" hidden="false" customHeight="false" outlineLevel="0" collapsed="false">
      <c r="A327" s="0" t="s">
        <v>102</v>
      </c>
      <c r="B327" s="0" t="s">
        <v>237</v>
      </c>
      <c r="C327" s="0" t="s">
        <v>182</v>
      </c>
      <c r="D327" s="0" t="n">
        <v>700</v>
      </c>
      <c r="E327" s="6" t="n">
        <v>0.998571428571429</v>
      </c>
      <c r="F327" s="6" t="n">
        <v>0.991952621292185</v>
      </c>
      <c r="G327" s="6" t="n">
        <v>0.999747784026285</v>
      </c>
      <c r="H327" s="7" t="n">
        <v>0.435</v>
      </c>
      <c r="I327" s="7" t="n">
        <v>0.923</v>
      </c>
      <c r="J327" s="6" t="n">
        <v>0.994277539341917</v>
      </c>
    </row>
    <row r="328" customFormat="false" ht="15" hidden="false" customHeight="false" outlineLevel="0" collapsed="false">
      <c r="A328" s="0" t="s">
        <v>102</v>
      </c>
      <c r="B328" s="0" t="s">
        <v>237</v>
      </c>
      <c r="C328" s="0" t="s">
        <v>183</v>
      </c>
      <c r="D328" s="0" t="n">
        <v>700</v>
      </c>
      <c r="E328" s="6" t="n">
        <v>0.998571428571429</v>
      </c>
      <c r="F328" s="6" t="n">
        <v>0.991952621292185</v>
      </c>
      <c r="G328" s="6" t="n">
        <v>0.999747784026285</v>
      </c>
      <c r="H328" s="7" t="n">
        <v>0.928</v>
      </c>
      <c r="I328" s="7" t="n">
        <v>1.476</v>
      </c>
      <c r="J328" s="6" t="n">
        <v>0.995708154506438</v>
      </c>
    </row>
    <row r="329" customFormat="false" ht="15" hidden="false" customHeight="false" outlineLevel="0" collapsed="false">
      <c r="A329" s="0" t="s">
        <v>102</v>
      </c>
      <c r="B329" s="0" t="s">
        <v>237</v>
      </c>
      <c r="C329" s="0" t="s">
        <v>184</v>
      </c>
      <c r="D329" s="0" t="n">
        <v>2100</v>
      </c>
      <c r="E329" s="6" t="n">
        <v>0.998095238095238</v>
      </c>
      <c r="F329" s="6" t="n">
        <v>0.995112393687503</v>
      </c>
      <c r="G329" s="6" t="n">
        <v>0.999259045683217</v>
      </c>
      <c r="H329" s="7" t="n">
        <v>0.745</v>
      </c>
      <c r="I329" s="7" t="n">
        <v>1.367</v>
      </c>
      <c r="J329" s="6" t="n">
        <v>0.994274809160305</v>
      </c>
    </row>
    <row r="330" customFormat="false" ht="15" hidden="false" customHeight="false" outlineLevel="0" collapsed="false">
      <c r="A330" s="0" t="s">
        <v>102</v>
      </c>
      <c r="B330" s="0" t="s">
        <v>238</v>
      </c>
      <c r="C330" s="0" t="s">
        <v>181</v>
      </c>
      <c r="D330" s="0" t="n">
        <v>700</v>
      </c>
      <c r="E330" s="6" t="n">
        <v>0.997142857142857</v>
      </c>
      <c r="F330" s="6" t="n">
        <v>0.989642722089369</v>
      </c>
      <c r="G330" s="6" t="n">
        <v>0.999216134789793</v>
      </c>
      <c r="H330" s="7" t="n">
        <v>1.242</v>
      </c>
      <c r="I330" s="7" t="n">
        <v>1.497</v>
      </c>
      <c r="J330" s="6" t="n">
        <v>0.998567335243553</v>
      </c>
    </row>
    <row r="331" customFormat="false" ht="15" hidden="false" customHeight="false" outlineLevel="0" collapsed="false">
      <c r="A331" s="0" t="s">
        <v>102</v>
      </c>
      <c r="B331" s="0" t="s">
        <v>238</v>
      </c>
      <c r="C331" s="0" t="s">
        <v>182</v>
      </c>
      <c r="D331" s="0" t="n">
        <v>700</v>
      </c>
      <c r="E331" s="6" t="n">
        <v>0.998571428571429</v>
      </c>
      <c r="F331" s="6" t="n">
        <v>0.991952621292185</v>
      </c>
      <c r="G331" s="6" t="n">
        <v>0.999747784026285</v>
      </c>
      <c r="H331" s="7" t="n">
        <v>1.04</v>
      </c>
      <c r="I331" s="7" t="n">
        <v>1.323</v>
      </c>
      <c r="J331" s="6" t="n">
        <v>1</v>
      </c>
    </row>
    <row r="332" customFormat="false" ht="15" hidden="false" customHeight="false" outlineLevel="0" collapsed="false">
      <c r="A332" s="0" t="s">
        <v>102</v>
      </c>
      <c r="B332" s="0" t="s">
        <v>238</v>
      </c>
      <c r="C332" s="0" t="s">
        <v>183</v>
      </c>
      <c r="D332" s="0" t="n">
        <v>700</v>
      </c>
      <c r="E332" s="6" t="n">
        <v>0.998571428571429</v>
      </c>
      <c r="F332" s="6" t="n">
        <v>0.991952621292185</v>
      </c>
      <c r="G332" s="6" t="n">
        <v>0.999747784026285</v>
      </c>
      <c r="H332" s="7" t="n">
        <v>0.489</v>
      </c>
      <c r="I332" s="7" t="n">
        <v>0.87</v>
      </c>
      <c r="J332" s="6" t="n">
        <v>1</v>
      </c>
    </row>
    <row r="333" customFormat="false" ht="15" hidden="false" customHeight="false" outlineLevel="0" collapsed="false">
      <c r="A333" s="0" t="s">
        <v>102</v>
      </c>
      <c r="B333" s="0" t="s">
        <v>238</v>
      </c>
      <c r="C333" s="0" t="s">
        <v>184</v>
      </c>
      <c r="D333" s="0" t="n">
        <v>2100</v>
      </c>
      <c r="E333" s="6" t="n">
        <v>0.998095238095238</v>
      </c>
      <c r="F333" s="6" t="n">
        <v>0.995112393687503</v>
      </c>
      <c r="G333" s="6" t="n">
        <v>0.999259045683217</v>
      </c>
      <c r="H333" s="7" t="n">
        <v>1.047</v>
      </c>
      <c r="I333" s="7" t="n">
        <v>1.412</v>
      </c>
      <c r="J333" s="6" t="n">
        <v>0.999522900763359</v>
      </c>
    </row>
    <row r="334" customFormat="false" ht="15" hidden="false" customHeight="false" outlineLevel="0" collapsed="false">
      <c r="A334" s="0" t="s">
        <v>102</v>
      </c>
      <c r="B334" s="0" t="s">
        <v>239</v>
      </c>
      <c r="C334" s="0" t="s">
        <v>181</v>
      </c>
      <c r="D334" s="0" t="n">
        <v>700</v>
      </c>
      <c r="E334" s="6" t="n">
        <v>1</v>
      </c>
      <c r="F334" s="6" t="n">
        <v>0.994541953757777</v>
      </c>
      <c r="G334" s="6" t="n">
        <v>1</v>
      </c>
      <c r="H334" s="7" t="n">
        <v>1.0365</v>
      </c>
      <c r="I334" s="7" t="n">
        <v>1.58</v>
      </c>
      <c r="J334" s="6" t="n">
        <v>1</v>
      </c>
    </row>
    <row r="335" customFormat="false" ht="15" hidden="false" customHeight="false" outlineLevel="0" collapsed="false">
      <c r="A335" s="0" t="s">
        <v>102</v>
      </c>
      <c r="B335" s="0" t="s">
        <v>239</v>
      </c>
      <c r="C335" s="0" t="s">
        <v>182</v>
      </c>
      <c r="D335" s="0" t="n">
        <v>700</v>
      </c>
      <c r="E335" s="6" t="n">
        <v>0.994285714285714</v>
      </c>
      <c r="F335" s="6" t="n">
        <v>0.985400075576777</v>
      </c>
      <c r="G335" s="6" t="n">
        <v>0.997775684423769</v>
      </c>
      <c r="H335" s="7" t="n">
        <v>0.855</v>
      </c>
      <c r="I335" s="7" t="n">
        <v>1.405</v>
      </c>
      <c r="J335" s="6" t="n">
        <v>1</v>
      </c>
    </row>
    <row r="336" customFormat="false" ht="15" hidden="false" customHeight="false" outlineLevel="0" collapsed="false">
      <c r="A336" s="0" t="s">
        <v>102</v>
      </c>
      <c r="B336" s="0" t="s">
        <v>239</v>
      </c>
      <c r="C336" s="0" t="s">
        <v>183</v>
      </c>
      <c r="D336" s="0" t="n">
        <v>700</v>
      </c>
      <c r="E336" s="6" t="n">
        <v>0.997142857142857</v>
      </c>
      <c r="F336" s="6" t="n">
        <v>0.989642722089369</v>
      </c>
      <c r="G336" s="6" t="n">
        <v>0.999216134789793</v>
      </c>
      <c r="H336" s="7" t="n">
        <v>0.276</v>
      </c>
      <c r="I336" s="7" t="n">
        <v>0.823</v>
      </c>
      <c r="J336" s="6" t="n">
        <v>1</v>
      </c>
    </row>
    <row r="337" customFormat="false" ht="15" hidden="false" customHeight="false" outlineLevel="0" collapsed="false">
      <c r="A337" s="0" t="s">
        <v>102</v>
      </c>
      <c r="B337" s="0" t="s">
        <v>239</v>
      </c>
      <c r="C337" s="0" t="s">
        <v>184</v>
      </c>
      <c r="D337" s="0" t="n">
        <v>2100</v>
      </c>
      <c r="E337" s="6" t="n">
        <v>0.997142857142857</v>
      </c>
      <c r="F337" s="6" t="n">
        <v>0.993780229483795</v>
      </c>
      <c r="G337" s="6" t="n">
        <v>0.998689926064037</v>
      </c>
      <c r="H337" s="7" t="n">
        <v>0.869</v>
      </c>
      <c r="I337" s="7" t="n">
        <v>1.364</v>
      </c>
      <c r="J337" s="6" t="n">
        <v>1</v>
      </c>
    </row>
    <row r="338" customFormat="false" ht="15" hidden="false" customHeight="false" outlineLevel="0" collapsed="false">
      <c r="A338" s="0" t="s">
        <v>115</v>
      </c>
      <c r="B338" s="0" t="s">
        <v>228</v>
      </c>
      <c r="C338" s="0" t="s">
        <v>181</v>
      </c>
      <c r="D338" s="0" t="n">
        <v>700</v>
      </c>
      <c r="E338" s="6" t="n">
        <v>0.985714285714286</v>
      </c>
      <c r="F338" s="6" t="n">
        <v>0.973904289668848</v>
      </c>
      <c r="G338" s="6" t="n">
        <v>0.99222217969585</v>
      </c>
      <c r="H338" s="7" t="n">
        <v>0.5815</v>
      </c>
      <c r="I338" s="7" t="n">
        <v>1.2</v>
      </c>
      <c r="J338" s="6" t="n">
        <v>1</v>
      </c>
    </row>
    <row r="339" customFormat="false" ht="15" hidden="false" customHeight="false" outlineLevel="0" collapsed="false">
      <c r="A339" s="0" t="s">
        <v>115</v>
      </c>
      <c r="B339" s="0" t="s">
        <v>228</v>
      </c>
      <c r="C339" s="0" t="s">
        <v>182</v>
      </c>
      <c r="D339" s="0" t="n">
        <v>700</v>
      </c>
      <c r="E339" s="6" t="n">
        <v>0.991428571428571</v>
      </c>
      <c r="F339" s="6" t="n">
        <v>0.981426723313498</v>
      </c>
      <c r="G339" s="6" t="n">
        <v>0.996065939808432</v>
      </c>
      <c r="H339" s="7" t="n">
        <v>0.853</v>
      </c>
      <c r="I339" s="7" t="n">
        <v>1.596</v>
      </c>
      <c r="J339" s="6" t="n">
        <v>0.998559077809798</v>
      </c>
    </row>
    <row r="340" customFormat="false" ht="15" hidden="false" customHeight="false" outlineLevel="0" collapsed="false">
      <c r="A340" s="0" t="s">
        <v>115</v>
      </c>
      <c r="B340" s="0" t="s">
        <v>228</v>
      </c>
      <c r="C340" s="0" t="s">
        <v>183</v>
      </c>
      <c r="D340" s="0" t="n">
        <v>700</v>
      </c>
      <c r="E340" s="6" t="n">
        <v>0.988571428571429</v>
      </c>
      <c r="F340" s="6" t="n">
        <v>0.977611666601191</v>
      </c>
      <c r="G340" s="6" t="n">
        <v>0.994197899642123</v>
      </c>
      <c r="H340" s="7" t="n">
        <v>1.256</v>
      </c>
      <c r="I340" s="7" t="n">
        <v>1.846</v>
      </c>
      <c r="J340" s="6" t="n">
        <v>0.995664739884393</v>
      </c>
    </row>
    <row r="341" customFormat="false" ht="15" hidden="false" customHeight="false" outlineLevel="0" collapsed="false">
      <c r="A341" s="0" t="s">
        <v>115</v>
      </c>
      <c r="B341" s="0" t="s">
        <v>228</v>
      </c>
      <c r="C341" s="0" t="s">
        <v>184</v>
      </c>
      <c r="D341" s="0" t="n">
        <v>2100</v>
      </c>
      <c r="E341" s="6" t="n">
        <v>0.988571428571429</v>
      </c>
      <c r="F341" s="6" t="n">
        <v>0.983050490079379</v>
      </c>
      <c r="G341" s="6" t="n">
        <v>0.992308111062456</v>
      </c>
      <c r="H341" s="7" t="n">
        <v>0.9445</v>
      </c>
      <c r="I341" s="7" t="n">
        <v>1.666</v>
      </c>
      <c r="J341" s="6" t="n">
        <v>0.998073217726397</v>
      </c>
    </row>
    <row r="342" customFormat="false" ht="15" hidden="false" customHeight="false" outlineLevel="0" collapsed="false">
      <c r="A342" s="0" t="s">
        <v>115</v>
      </c>
      <c r="B342" s="0" t="s">
        <v>229</v>
      </c>
      <c r="C342" s="0" t="s">
        <v>181</v>
      </c>
      <c r="D342" s="0" t="n">
        <v>700</v>
      </c>
      <c r="E342" s="6" t="n">
        <v>0.997142857142857</v>
      </c>
      <c r="F342" s="6" t="n">
        <v>0.989642722089369</v>
      </c>
      <c r="G342" s="6" t="n">
        <v>0.999216134789793</v>
      </c>
      <c r="H342" s="7" t="n">
        <v>0.7705</v>
      </c>
      <c r="I342" s="7" t="n">
        <v>1.332</v>
      </c>
      <c r="J342" s="6" t="n">
        <v>0.997134670487106</v>
      </c>
    </row>
    <row r="343" customFormat="false" ht="15" hidden="false" customHeight="false" outlineLevel="0" collapsed="false">
      <c r="A343" s="0" t="s">
        <v>115</v>
      </c>
      <c r="B343" s="0" t="s">
        <v>229</v>
      </c>
      <c r="C343" s="0" t="s">
        <v>182</v>
      </c>
      <c r="D343" s="0" t="n">
        <v>700</v>
      </c>
      <c r="E343" s="6" t="n">
        <v>0.997142857142857</v>
      </c>
      <c r="F343" s="6" t="n">
        <v>0.989642722089369</v>
      </c>
      <c r="G343" s="6" t="n">
        <v>0.999216134789793</v>
      </c>
      <c r="H343" s="7" t="n">
        <v>0.367</v>
      </c>
      <c r="I343" s="7" t="n">
        <v>0.73</v>
      </c>
      <c r="J343" s="6" t="n">
        <v>1</v>
      </c>
    </row>
    <row r="344" customFormat="false" ht="15" hidden="false" customHeight="false" outlineLevel="0" collapsed="false">
      <c r="A344" s="0" t="s">
        <v>115</v>
      </c>
      <c r="B344" s="0" t="s">
        <v>229</v>
      </c>
      <c r="C344" s="0" t="s">
        <v>183</v>
      </c>
      <c r="D344" s="0" t="n">
        <v>700</v>
      </c>
      <c r="E344" s="6" t="n">
        <v>0.995714285714286</v>
      </c>
      <c r="F344" s="6" t="n">
        <v>0.987475859383073</v>
      </c>
      <c r="G344" s="6" t="n">
        <v>0.99854144905678</v>
      </c>
      <c r="H344" s="7" t="n">
        <v>1.123</v>
      </c>
      <c r="I344" s="7" t="n">
        <v>1.485</v>
      </c>
      <c r="J344" s="6" t="n">
        <v>1</v>
      </c>
    </row>
    <row r="345" customFormat="false" ht="15" hidden="false" customHeight="false" outlineLevel="0" collapsed="false">
      <c r="A345" s="0" t="s">
        <v>115</v>
      </c>
      <c r="B345" s="0" t="s">
        <v>229</v>
      </c>
      <c r="C345" s="0" t="s">
        <v>184</v>
      </c>
      <c r="D345" s="0" t="n">
        <v>2100</v>
      </c>
      <c r="E345" s="6" t="n">
        <v>0.996666666666667</v>
      </c>
      <c r="F345" s="6" t="n">
        <v>0.993135096851519</v>
      </c>
      <c r="G345" s="6" t="n">
        <v>0.99838441678487</v>
      </c>
      <c r="H345" s="7" t="n">
        <v>0.679</v>
      </c>
      <c r="I345" s="7" t="n">
        <v>1.422</v>
      </c>
      <c r="J345" s="6" t="n">
        <v>0.999044433827043</v>
      </c>
    </row>
    <row r="346" customFormat="false" ht="15" hidden="false" customHeight="false" outlineLevel="0" collapsed="false">
      <c r="A346" s="0" t="s">
        <v>115</v>
      </c>
      <c r="B346" s="0" t="s">
        <v>230</v>
      </c>
      <c r="C346" s="0" t="s">
        <v>181</v>
      </c>
      <c r="D346" s="0" t="n">
        <v>700</v>
      </c>
      <c r="E346" s="6" t="n">
        <v>0.997142857142857</v>
      </c>
      <c r="F346" s="6" t="n">
        <v>0.989642722089369</v>
      </c>
      <c r="G346" s="6" t="n">
        <v>0.999216134789793</v>
      </c>
      <c r="H346" s="7" t="n">
        <v>0.8075</v>
      </c>
      <c r="I346" s="7" t="n">
        <v>1.313</v>
      </c>
      <c r="J346" s="6" t="n">
        <v>1</v>
      </c>
    </row>
    <row r="347" customFormat="false" ht="15" hidden="false" customHeight="false" outlineLevel="0" collapsed="false">
      <c r="A347" s="0" t="s">
        <v>115</v>
      </c>
      <c r="B347" s="0" t="s">
        <v>230</v>
      </c>
      <c r="C347" s="0" t="s">
        <v>182</v>
      </c>
      <c r="D347" s="0" t="n">
        <v>700</v>
      </c>
      <c r="E347" s="6" t="n">
        <v>0.997142857142857</v>
      </c>
      <c r="F347" s="6" t="n">
        <v>0.989642722089369</v>
      </c>
      <c r="G347" s="6" t="n">
        <v>0.999216134789793</v>
      </c>
      <c r="H347" s="7" t="n">
        <v>0.401</v>
      </c>
      <c r="I347" s="7" t="n">
        <v>0.752</v>
      </c>
      <c r="J347" s="6" t="n">
        <v>1</v>
      </c>
    </row>
    <row r="348" customFormat="false" ht="15" hidden="false" customHeight="false" outlineLevel="0" collapsed="false">
      <c r="A348" s="0" t="s">
        <v>115</v>
      </c>
      <c r="B348" s="0" t="s">
        <v>230</v>
      </c>
      <c r="C348" s="0" t="s">
        <v>183</v>
      </c>
      <c r="D348" s="0" t="n">
        <v>700</v>
      </c>
      <c r="E348" s="6" t="n">
        <v>1</v>
      </c>
      <c r="F348" s="6" t="n">
        <v>0.994541953757777</v>
      </c>
      <c r="G348" s="6" t="n">
        <v>1</v>
      </c>
      <c r="H348" s="7" t="n">
        <v>1.2565</v>
      </c>
      <c r="I348" s="7" t="n">
        <v>1.544</v>
      </c>
      <c r="J348" s="6" t="n">
        <v>1</v>
      </c>
    </row>
    <row r="349" customFormat="false" ht="15" hidden="false" customHeight="false" outlineLevel="0" collapsed="false">
      <c r="A349" s="0" t="s">
        <v>115</v>
      </c>
      <c r="B349" s="0" t="s">
        <v>230</v>
      </c>
      <c r="C349" s="0" t="s">
        <v>184</v>
      </c>
      <c r="D349" s="0" t="n">
        <v>2100</v>
      </c>
      <c r="E349" s="6" t="n">
        <v>0.998095238095238</v>
      </c>
      <c r="F349" s="6" t="n">
        <v>0.995112393687503</v>
      </c>
      <c r="G349" s="6" t="n">
        <v>0.999259045683217</v>
      </c>
      <c r="H349" s="7" t="n">
        <v>0.82</v>
      </c>
      <c r="I349" s="7" t="n">
        <v>1.425</v>
      </c>
      <c r="J349" s="6" t="n">
        <v>1</v>
      </c>
    </row>
    <row r="350" customFormat="false" ht="15" hidden="false" customHeight="false" outlineLevel="0" collapsed="false">
      <c r="A350" s="0" t="s">
        <v>115</v>
      </c>
      <c r="B350" s="0" t="s">
        <v>231</v>
      </c>
      <c r="C350" s="0" t="s">
        <v>181</v>
      </c>
      <c r="D350" s="0" t="n">
        <v>700</v>
      </c>
      <c r="E350" s="6" t="n">
        <v>0.991428571428571</v>
      </c>
      <c r="F350" s="6" t="n">
        <v>0.981426723313498</v>
      </c>
      <c r="G350" s="6" t="n">
        <v>0.996065939808432</v>
      </c>
      <c r="H350" s="7" t="n">
        <v>0.7125</v>
      </c>
      <c r="I350" s="7" t="n">
        <v>1.316</v>
      </c>
      <c r="J350" s="6" t="n">
        <v>1</v>
      </c>
    </row>
    <row r="351" customFormat="false" ht="15" hidden="false" customHeight="false" outlineLevel="0" collapsed="false">
      <c r="A351" s="0" t="s">
        <v>115</v>
      </c>
      <c r="B351" s="0" t="s">
        <v>231</v>
      </c>
      <c r="C351" s="0" t="s">
        <v>182</v>
      </c>
      <c r="D351" s="0" t="n">
        <v>700</v>
      </c>
      <c r="E351" s="6" t="n">
        <v>0.998571428571429</v>
      </c>
      <c r="F351" s="6" t="n">
        <v>0.991952621292185</v>
      </c>
      <c r="G351" s="6" t="n">
        <v>0.999747784026285</v>
      </c>
      <c r="H351" s="7" t="n">
        <v>0.378</v>
      </c>
      <c r="I351" s="7" t="n">
        <v>0.859</v>
      </c>
      <c r="J351" s="6" t="n">
        <v>0.997138769670959</v>
      </c>
    </row>
    <row r="352" customFormat="false" ht="15" hidden="false" customHeight="false" outlineLevel="0" collapsed="false">
      <c r="A352" s="0" t="s">
        <v>115</v>
      </c>
      <c r="B352" s="0" t="s">
        <v>231</v>
      </c>
      <c r="C352" s="0" t="s">
        <v>183</v>
      </c>
      <c r="D352" s="0" t="n">
        <v>700</v>
      </c>
      <c r="E352" s="6" t="n">
        <v>0.998571428571429</v>
      </c>
      <c r="F352" s="6" t="n">
        <v>0.991952621292185</v>
      </c>
      <c r="G352" s="6" t="n">
        <v>0.999747784026285</v>
      </c>
      <c r="H352" s="7" t="n">
        <v>1.129</v>
      </c>
      <c r="I352" s="7" t="n">
        <v>1.417</v>
      </c>
      <c r="J352" s="6" t="n">
        <v>1</v>
      </c>
    </row>
    <row r="353" customFormat="false" ht="15" hidden="false" customHeight="false" outlineLevel="0" collapsed="false">
      <c r="A353" s="0" t="s">
        <v>115</v>
      </c>
      <c r="B353" s="0" t="s">
        <v>231</v>
      </c>
      <c r="C353" s="0" t="s">
        <v>184</v>
      </c>
      <c r="D353" s="0" t="n">
        <v>2100</v>
      </c>
      <c r="E353" s="6" t="n">
        <v>0.996190476190476</v>
      </c>
      <c r="F353" s="6" t="n">
        <v>0.99250045074196</v>
      </c>
      <c r="G353" s="6" t="n">
        <v>0.998068420982983</v>
      </c>
      <c r="H353" s="7" t="n">
        <v>0.625</v>
      </c>
      <c r="I353" s="7" t="n">
        <v>1.373</v>
      </c>
      <c r="J353" s="6" t="n">
        <v>0.999043977055449</v>
      </c>
    </row>
    <row r="354" customFormat="false" ht="15" hidden="false" customHeight="false" outlineLevel="0" collapsed="false">
      <c r="A354" s="0" t="s">
        <v>115</v>
      </c>
      <c r="B354" s="0" t="s">
        <v>232</v>
      </c>
      <c r="C354" s="0" t="s">
        <v>181</v>
      </c>
      <c r="D354" s="0" t="n">
        <v>700</v>
      </c>
      <c r="E354" s="6" t="n">
        <v>1</v>
      </c>
      <c r="F354" s="6" t="n">
        <v>0.994541953757777</v>
      </c>
      <c r="G354" s="6" t="n">
        <v>1</v>
      </c>
      <c r="H354" s="7" t="n">
        <v>0.74</v>
      </c>
      <c r="I354" s="7" t="n">
        <v>1.306</v>
      </c>
      <c r="J354" s="6" t="n">
        <v>1</v>
      </c>
    </row>
    <row r="355" customFormat="false" ht="15" hidden="false" customHeight="false" outlineLevel="0" collapsed="false">
      <c r="A355" s="0" t="s">
        <v>115</v>
      </c>
      <c r="B355" s="0" t="s">
        <v>232</v>
      </c>
      <c r="C355" s="0" t="s">
        <v>182</v>
      </c>
      <c r="D355" s="0" t="n">
        <v>700</v>
      </c>
      <c r="E355" s="6" t="n">
        <v>0.998571428571429</v>
      </c>
      <c r="F355" s="6" t="n">
        <v>0.991952621292185</v>
      </c>
      <c r="G355" s="6" t="n">
        <v>0.999747784026285</v>
      </c>
      <c r="H355" s="7" t="n">
        <v>0.441</v>
      </c>
      <c r="I355" s="7" t="n">
        <v>0.69</v>
      </c>
      <c r="J355" s="6" t="n">
        <v>1</v>
      </c>
    </row>
    <row r="356" customFormat="false" ht="15" hidden="false" customHeight="false" outlineLevel="0" collapsed="false">
      <c r="A356" s="0" t="s">
        <v>115</v>
      </c>
      <c r="B356" s="0" t="s">
        <v>232</v>
      </c>
      <c r="C356" s="0" t="s">
        <v>183</v>
      </c>
      <c r="D356" s="0" t="n">
        <v>700</v>
      </c>
      <c r="E356" s="6" t="n">
        <v>1</v>
      </c>
      <c r="F356" s="6" t="n">
        <v>0.994541953757777</v>
      </c>
      <c r="G356" s="6" t="n">
        <v>1</v>
      </c>
      <c r="H356" s="7" t="n">
        <v>1.196</v>
      </c>
      <c r="I356" s="7" t="n">
        <v>1.525</v>
      </c>
      <c r="J356" s="6" t="n">
        <v>1</v>
      </c>
    </row>
    <row r="357" customFormat="false" ht="15" hidden="false" customHeight="false" outlineLevel="0" collapsed="false">
      <c r="A357" s="0" t="s">
        <v>115</v>
      </c>
      <c r="B357" s="0" t="s">
        <v>232</v>
      </c>
      <c r="C357" s="0" t="s">
        <v>184</v>
      </c>
      <c r="D357" s="0" t="n">
        <v>2100</v>
      </c>
      <c r="E357" s="6" t="n">
        <v>0.99952380952381</v>
      </c>
      <c r="F357" s="6" t="n">
        <v>0.997307427200723</v>
      </c>
      <c r="G357" s="6" t="n">
        <v>0.999915937904331</v>
      </c>
      <c r="H357" s="7" t="n">
        <v>0.671</v>
      </c>
      <c r="I357" s="7" t="n">
        <v>1.413</v>
      </c>
      <c r="J357" s="6" t="n">
        <v>1</v>
      </c>
    </row>
    <row r="358" customFormat="false" ht="15" hidden="false" customHeight="false" outlineLevel="0" collapsed="false">
      <c r="A358" s="0" t="s">
        <v>115</v>
      </c>
      <c r="B358" s="0" t="s">
        <v>233</v>
      </c>
      <c r="C358" s="0" t="s">
        <v>181</v>
      </c>
      <c r="D358" s="0" t="n">
        <v>700</v>
      </c>
      <c r="E358" s="6" t="n">
        <v>0.994285714285714</v>
      </c>
      <c r="F358" s="6" t="n">
        <v>0.985400075576777</v>
      </c>
      <c r="G358" s="6" t="n">
        <v>0.997775684423769</v>
      </c>
      <c r="H358" s="7" t="n">
        <v>0.9515</v>
      </c>
      <c r="I358" s="7" t="n">
        <v>2.746</v>
      </c>
      <c r="J358" s="6" t="n">
        <v>1</v>
      </c>
    </row>
    <row r="359" customFormat="false" ht="15" hidden="false" customHeight="false" outlineLevel="0" collapsed="false">
      <c r="A359" s="0" t="s">
        <v>115</v>
      </c>
      <c r="B359" s="0" t="s">
        <v>233</v>
      </c>
      <c r="C359" s="0" t="s">
        <v>182</v>
      </c>
      <c r="D359" s="0" t="n">
        <v>700</v>
      </c>
      <c r="E359" s="6" t="n">
        <v>0.994285714285714</v>
      </c>
      <c r="F359" s="6" t="n">
        <v>0.985400075576777</v>
      </c>
      <c r="G359" s="6" t="n">
        <v>0.997775684423769</v>
      </c>
      <c r="H359" s="7" t="n">
        <v>1.027</v>
      </c>
      <c r="I359" s="7" t="n">
        <v>3.224</v>
      </c>
      <c r="J359" s="6" t="n">
        <v>1</v>
      </c>
    </row>
    <row r="360" customFormat="false" ht="15" hidden="false" customHeight="false" outlineLevel="0" collapsed="false">
      <c r="A360" s="0" t="s">
        <v>115</v>
      </c>
      <c r="B360" s="0" t="s">
        <v>233</v>
      </c>
      <c r="C360" s="0" t="s">
        <v>183</v>
      </c>
      <c r="D360" s="0" t="n">
        <v>700</v>
      </c>
      <c r="E360" s="6" t="n">
        <v>0.998571428571429</v>
      </c>
      <c r="F360" s="6" t="n">
        <v>0.991952621292185</v>
      </c>
      <c r="G360" s="6" t="n">
        <v>0.999747784026285</v>
      </c>
      <c r="H360" s="7" t="n">
        <v>1.526</v>
      </c>
      <c r="I360" s="7" t="n">
        <v>2.155</v>
      </c>
      <c r="J360" s="6" t="n">
        <v>1</v>
      </c>
    </row>
    <row r="361" customFormat="false" ht="15" hidden="false" customHeight="false" outlineLevel="0" collapsed="false">
      <c r="A361" s="0" t="s">
        <v>115</v>
      </c>
      <c r="B361" s="0" t="s">
        <v>233</v>
      </c>
      <c r="C361" s="0" t="s">
        <v>184</v>
      </c>
      <c r="D361" s="0" t="n">
        <v>2100</v>
      </c>
      <c r="E361" s="6" t="n">
        <v>0.995714285714286</v>
      </c>
      <c r="F361" s="6" t="n">
        <v>0.991874582617067</v>
      </c>
      <c r="G361" s="6" t="n">
        <v>0.997743647196432</v>
      </c>
      <c r="H361" s="7" t="n">
        <v>1.169</v>
      </c>
      <c r="I361" s="7" t="n">
        <v>2.507</v>
      </c>
      <c r="J361" s="6" t="n">
        <v>1</v>
      </c>
    </row>
    <row r="362" customFormat="false" ht="15" hidden="false" customHeight="false" outlineLevel="0" collapsed="false">
      <c r="A362" s="0" t="s">
        <v>115</v>
      </c>
      <c r="B362" s="0" t="s">
        <v>234</v>
      </c>
      <c r="C362" s="0" t="s">
        <v>181</v>
      </c>
      <c r="D362" s="0" t="n">
        <v>700</v>
      </c>
      <c r="E362" s="6" t="n">
        <v>0.998571428571429</v>
      </c>
      <c r="F362" s="6" t="n">
        <v>0.991952621292185</v>
      </c>
      <c r="G362" s="6" t="n">
        <v>0.999747784026285</v>
      </c>
      <c r="H362" s="7" t="n">
        <v>1.402</v>
      </c>
      <c r="I362" s="7" t="n">
        <v>3.126</v>
      </c>
      <c r="J362" s="6" t="n">
        <v>0.998569384835479</v>
      </c>
    </row>
    <row r="363" customFormat="false" ht="15" hidden="false" customHeight="false" outlineLevel="0" collapsed="false">
      <c r="A363" s="0" t="s">
        <v>115</v>
      </c>
      <c r="B363" s="0" t="s">
        <v>234</v>
      </c>
      <c r="C363" s="0" t="s">
        <v>182</v>
      </c>
      <c r="D363" s="0" t="n">
        <v>700</v>
      </c>
      <c r="E363" s="6" t="n">
        <v>0.998571428571429</v>
      </c>
      <c r="F363" s="6" t="n">
        <v>0.991952621292185</v>
      </c>
      <c r="G363" s="6" t="n">
        <v>0.999747784026285</v>
      </c>
      <c r="H363" s="7" t="n">
        <v>0.873</v>
      </c>
      <c r="I363" s="7" t="n">
        <v>1.44</v>
      </c>
      <c r="J363" s="6" t="n">
        <v>1</v>
      </c>
    </row>
    <row r="364" customFormat="false" ht="15" hidden="false" customHeight="false" outlineLevel="0" collapsed="false">
      <c r="A364" s="0" t="s">
        <v>115</v>
      </c>
      <c r="B364" s="0" t="s">
        <v>234</v>
      </c>
      <c r="C364" s="0" t="s">
        <v>183</v>
      </c>
      <c r="D364" s="0" t="n">
        <v>700</v>
      </c>
      <c r="E364" s="6" t="n">
        <v>1</v>
      </c>
      <c r="F364" s="6" t="n">
        <v>0.994541953757777</v>
      </c>
      <c r="G364" s="6" t="n">
        <v>1</v>
      </c>
      <c r="H364" s="7" t="n">
        <v>0.868</v>
      </c>
      <c r="I364" s="7" t="n">
        <v>2.279</v>
      </c>
      <c r="J364" s="6" t="n">
        <v>1</v>
      </c>
    </row>
    <row r="365" customFormat="false" ht="15" hidden="false" customHeight="false" outlineLevel="0" collapsed="false">
      <c r="A365" s="0" t="s">
        <v>115</v>
      </c>
      <c r="B365" s="0" t="s">
        <v>234</v>
      </c>
      <c r="C365" s="0" t="s">
        <v>184</v>
      </c>
      <c r="D365" s="0" t="n">
        <v>2100</v>
      </c>
      <c r="E365" s="6" t="n">
        <v>0.999047619047619</v>
      </c>
      <c r="F365" s="6" t="n">
        <v>0.996533933798472</v>
      </c>
      <c r="G365" s="6" t="n">
        <v>0.999738789395138</v>
      </c>
      <c r="H365" s="7" t="n">
        <v>0.9875</v>
      </c>
      <c r="I365" s="7" t="n">
        <v>2.193</v>
      </c>
      <c r="J365" s="6" t="n">
        <v>0.99952335557674</v>
      </c>
    </row>
    <row r="366" customFormat="false" ht="15" hidden="false" customHeight="false" outlineLevel="0" collapsed="false">
      <c r="A366" s="0" t="s">
        <v>115</v>
      </c>
      <c r="B366" s="0" t="s">
        <v>235</v>
      </c>
      <c r="C366" s="0" t="s">
        <v>181</v>
      </c>
      <c r="D366" s="0" t="n">
        <v>700</v>
      </c>
      <c r="E366" s="6" t="n">
        <v>0.997142857142857</v>
      </c>
      <c r="F366" s="6" t="n">
        <v>0.989642722089369</v>
      </c>
      <c r="G366" s="6" t="n">
        <v>0.999216134789793</v>
      </c>
      <c r="H366" s="7" t="n">
        <v>0.7675</v>
      </c>
      <c r="I366" s="7" t="n">
        <v>1.416</v>
      </c>
      <c r="J366" s="6" t="n">
        <v>0.997134670487106</v>
      </c>
    </row>
    <row r="367" customFormat="false" ht="15" hidden="false" customHeight="false" outlineLevel="0" collapsed="false">
      <c r="A367" s="0" t="s">
        <v>115</v>
      </c>
      <c r="B367" s="0" t="s">
        <v>235</v>
      </c>
      <c r="C367" s="0" t="s">
        <v>182</v>
      </c>
      <c r="D367" s="0" t="n">
        <v>700</v>
      </c>
      <c r="E367" s="6" t="n">
        <v>0.998571428571429</v>
      </c>
      <c r="F367" s="6" t="n">
        <v>0.991952621292185</v>
      </c>
      <c r="G367" s="6" t="n">
        <v>0.999747784026285</v>
      </c>
      <c r="H367" s="7" t="n">
        <v>0.402</v>
      </c>
      <c r="I367" s="7" t="n">
        <v>0.786</v>
      </c>
      <c r="J367" s="6" t="n">
        <v>0.998569384835479</v>
      </c>
    </row>
    <row r="368" customFormat="false" ht="15" hidden="false" customHeight="false" outlineLevel="0" collapsed="false">
      <c r="A368" s="0" t="s">
        <v>115</v>
      </c>
      <c r="B368" s="0" t="s">
        <v>235</v>
      </c>
      <c r="C368" s="0" t="s">
        <v>183</v>
      </c>
      <c r="D368" s="0" t="n">
        <v>700</v>
      </c>
      <c r="E368" s="6" t="n">
        <v>0.997142857142857</v>
      </c>
      <c r="F368" s="6" t="n">
        <v>0.989642722089369</v>
      </c>
      <c r="G368" s="6" t="n">
        <v>0.999216134789793</v>
      </c>
      <c r="H368" s="7" t="n">
        <v>1.312</v>
      </c>
      <c r="I368" s="7" t="n">
        <v>1.662</v>
      </c>
      <c r="J368" s="6" t="n">
        <v>1</v>
      </c>
    </row>
    <row r="369" customFormat="false" ht="15" hidden="false" customHeight="false" outlineLevel="0" collapsed="false">
      <c r="A369" s="0" t="s">
        <v>115</v>
      </c>
      <c r="B369" s="0" t="s">
        <v>235</v>
      </c>
      <c r="C369" s="0" t="s">
        <v>184</v>
      </c>
      <c r="D369" s="0" t="n">
        <v>2100</v>
      </c>
      <c r="E369" s="6" t="n">
        <v>0.997619047619048</v>
      </c>
      <c r="F369" s="6" t="n">
        <v>0.994438198537809</v>
      </c>
      <c r="G369" s="6" t="n">
        <v>0.998982598921468</v>
      </c>
      <c r="H369" s="7" t="n">
        <v>0.711</v>
      </c>
      <c r="I369" s="7" t="n">
        <v>1.534</v>
      </c>
      <c r="J369" s="6" t="n">
        <v>0.998568019093079</v>
      </c>
    </row>
    <row r="370" customFormat="false" ht="15" hidden="false" customHeight="false" outlineLevel="0" collapsed="false">
      <c r="A370" s="0" t="s">
        <v>115</v>
      </c>
      <c r="B370" s="0" t="s">
        <v>236</v>
      </c>
      <c r="C370" s="0" t="s">
        <v>181</v>
      </c>
      <c r="D370" s="0" t="n">
        <v>700</v>
      </c>
      <c r="E370" s="6" t="n">
        <v>0.992857142857143</v>
      </c>
      <c r="F370" s="6" t="n">
        <v>0.983388914848421</v>
      </c>
      <c r="G370" s="6" t="n">
        <v>0.996945296712817</v>
      </c>
      <c r="H370" s="7" t="n">
        <v>0.746</v>
      </c>
      <c r="I370" s="7" t="n">
        <v>1.419</v>
      </c>
      <c r="J370" s="6" t="n">
        <v>0.985611510791367</v>
      </c>
    </row>
    <row r="371" customFormat="false" ht="15" hidden="false" customHeight="false" outlineLevel="0" collapsed="false">
      <c r="A371" s="0" t="s">
        <v>115</v>
      </c>
      <c r="B371" s="0" t="s">
        <v>236</v>
      </c>
      <c r="C371" s="0" t="s">
        <v>182</v>
      </c>
      <c r="D371" s="0" t="n">
        <v>700</v>
      </c>
      <c r="E371" s="6" t="n">
        <v>0.992857142857143</v>
      </c>
      <c r="F371" s="6" t="n">
        <v>0.983388914848421</v>
      </c>
      <c r="G371" s="6" t="n">
        <v>0.996945296712817</v>
      </c>
      <c r="H371" s="7" t="n">
        <v>0.471</v>
      </c>
      <c r="I371" s="7" t="n">
        <v>0.869</v>
      </c>
      <c r="J371" s="6" t="n">
        <v>0.97841726618705</v>
      </c>
    </row>
    <row r="372" customFormat="false" ht="15" hidden="false" customHeight="false" outlineLevel="0" collapsed="false">
      <c r="A372" s="0" t="s">
        <v>115</v>
      </c>
      <c r="B372" s="0" t="s">
        <v>236</v>
      </c>
      <c r="C372" s="0" t="s">
        <v>183</v>
      </c>
      <c r="D372" s="0" t="n">
        <v>700</v>
      </c>
      <c r="E372" s="6" t="n">
        <v>0.997142857142857</v>
      </c>
      <c r="F372" s="6" t="n">
        <v>0.989642722089369</v>
      </c>
      <c r="G372" s="6" t="n">
        <v>0.999216134789793</v>
      </c>
      <c r="H372" s="7" t="n">
        <v>1.2905</v>
      </c>
      <c r="I372" s="7" t="n">
        <v>1.924</v>
      </c>
      <c r="J372" s="6" t="n">
        <v>0.979942693409742</v>
      </c>
    </row>
    <row r="373" customFormat="false" ht="15" hidden="false" customHeight="false" outlineLevel="0" collapsed="false">
      <c r="A373" s="0" t="s">
        <v>115</v>
      </c>
      <c r="B373" s="0" t="s">
        <v>236</v>
      </c>
      <c r="C373" s="0" t="s">
        <v>184</v>
      </c>
      <c r="D373" s="0" t="n">
        <v>2100</v>
      </c>
      <c r="E373" s="6" t="n">
        <v>0.994285714285714</v>
      </c>
      <c r="F373" s="6" t="n">
        <v>0.990038119907082</v>
      </c>
      <c r="G373" s="6" t="n">
        <v>0.996728184172085</v>
      </c>
      <c r="H373" s="7" t="n">
        <v>0.7485</v>
      </c>
      <c r="I373" s="7" t="n">
        <v>1.575</v>
      </c>
      <c r="J373" s="6" t="n">
        <v>0.98132183908046</v>
      </c>
    </row>
    <row r="374" customFormat="false" ht="15" hidden="false" customHeight="false" outlineLevel="0" collapsed="false">
      <c r="A374" s="0" t="s">
        <v>115</v>
      </c>
      <c r="B374" s="0" t="s">
        <v>237</v>
      </c>
      <c r="C374" s="0" t="s">
        <v>181</v>
      </c>
      <c r="D374" s="0" t="n">
        <v>700</v>
      </c>
      <c r="E374" s="6" t="n">
        <v>0.997142857142857</v>
      </c>
      <c r="F374" s="6" t="n">
        <v>0.989642722089369</v>
      </c>
      <c r="G374" s="6" t="n">
        <v>0.999216134789793</v>
      </c>
      <c r="H374" s="7" t="n">
        <v>1.051</v>
      </c>
      <c r="I374" s="7" t="n">
        <v>1.68</v>
      </c>
      <c r="J374" s="6" t="n">
        <v>0.998567335243553</v>
      </c>
    </row>
    <row r="375" customFormat="false" ht="15" hidden="false" customHeight="false" outlineLevel="0" collapsed="false">
      <c r="A375" s="0" t="s">
        <v>115</v>
      </c>
      <c r="B375" s="0" t="s">
        <v>237</v>
      </c>
      <c r="C375" s="0" t="s">
        <v>182</v>
      </c>
      <c r="D375" s="0" t="n">
        <v>700</v>
      </c>
      <c r="E375" s="6" t="n">
        <v>0.985714285714286</v>
      </c>
      <c r="F375" s="6" t="n">
        <v>0.973904289668848</v>
      </c>
      <c r="G375" s="6" t="n">
        <v>0.99222217969585</v>
      </c>
      <c r="H375" s="7" t="n">
        <v>0.5335</v>
      </c>
      <c r="I375" s="7" t="n">
        <v>2.052</v>
      </c>
      <c r="J375" s="6" t="n">
        <v>0.997101449275362</v>
      </c>
    </row>
    <row r="376" customFormat="false" ht="15" hidden="false" customHeight="false" outlineLevel="0" collapsed="false">
      <c r="A376" s="0" t="s">
        <v>115</v>
      </c>
      <c r="B376" s="0" t="s">
        <v>237</v>
      </c>
      <c r="C376" s="0" t="s">
        <v>183</v>
      </c>
      <c r="D376" s="0" t="n">
        <v>700</v>
      </c>
      <c r="E376" s="6" t="n">
        <v>0.988571428571429</v>
      </c>
      <c r="F376" s="6" t="n">
        <v>0.977611666601191</v>
      </c>
      <c r="G376" s="6" t="n">
        <v>0.994197899642123</v>
      </c>
      <c r="H376" s="7" t="n">
        <v>1.2895</v>
      </c>
      <c r="I376" s="7" t="n">
        <v>2.16</v>
      </c>
      <c r="J376" s="6" t="n">
        <v>0.997109826589595</v>
      </c>
    </row>
    <row r="377" customFormat="false" ht="15" hidden="false" customHeight="false" outlineLevel="0" collapsed="false">
      <c r="A377" s="0" t="s">
        <v>115</v>
      </c>
      <c r="B377" s="0" t="s">
        <v>237</v>
      </c>
      <c r="C377" s="0" t="s">
        <v>184</v>
      </c>
      <c r="D377" s="0" t="n">
        <v>2100</v>
      </c>
      <c r="E377" s="6" t="n">
        <v>0.990476190476191</v>
      </c>
      <c r="F377" s="6" t="n">
        <v>0.985334775086367</v>
      </c>
      <c r="G377" s="6" t="n">
        <v>0.993826393701246</v>
      </c>
      <c r="H377" s="7" t="n">
        <v>0.815</v>
      </c>
      <c r="I377" s="7" t="n">
        <v>1.994</v>
      </c>
      <c r="J377" s="6" t="n">
        <v>0.997596153846154</v>
      </c>
    </row>
    <row r="378" customFormat="false" ht="15" hidden="false" customHeight="false" outlineLevel="0" collapsed="false">
      <c r="A378" s="0" t="s">
        <v>115</v>
      </c>
      <c r="B378" s="0" t="s">
        <v>238</v>
      </c>
      <c r="C378" s="0" t="s">
        <v>181</v>
      </c>
      <c r="D378" s="0" t="n">
        <v>700</v>
      </c>
      <c r="E378" s="6" t="n">
        <v>0.998571428571429</v>
      </c>
      <c r="F378" s="6" t="n">
        <v>0.991952621292185</v>
      </c>
      <c r="G378" s="6" t="n">
        <v>0.999747784026285</v>
      </c>
      <c r="H378" s="7" t="n">
        <v>1.386</v>
      </c>
      <c r="I378" s="7" t="n">
        <v>2.071</v>
      </c>
      <c r="J378" s="6" t="n">
        <v>1</v>
      </c>
    </row>
    <row r="379" customFormat="false" ht="15" hidden="false" customHeight="false" outlineLevel="0" collapsed="false">
      <c r="A379" s="0" t="s">
        <v>115</v>
      </c>
      <c r="B379" s="0" t="s">
        <v>238</v>
      </c>
      <c r="C379" s="0" t="s">
        <v>182</v>
      </c>
      <c r="D379" s="0" t="n">
        <v>700</v>
      </c>
      <c r="E379" s="6" t="n">
        <v>0.994285714285714</v>
      </c>
      <c r="F379" s="6" t="n">
        <v>0.985400075576777</v>
      </c>
      <c r="G379" s="6" t="n">
        <v>0.997775684423769</v>
      </c>
      <c r="H379" s="7" t="n">
        <v>1.106</v>
      </c>
      <c r="I379" s="7" t="n">
        <v>1.758</v>
      </c>
      <c r="J379" s="6" t="n">
        <v>1</v>
      </c>
    </row>
    <row r="380" customFormat="false" ht="15" hidden="false" customHeight="false" outlineLevel="0" collapsed="false">
      <c r="A380" s="0" t="s">
        <v>115</v>
      </c>
      <c r="B380" s="0" t="s">
        <v>238</v>
      </c>
      <c r="C380" s="0" t="s">
        <v>183</v>
      </c>
      <c r="D380" s="0" t="n">
        <v>700</v>
      </c>
      <c r="E380" s="6" t="n">
        <v>0.998571428571429</v>
      </c>
      <c r="F380" s="6" t="n">
        <v>0.991952621292185</v>
      </c>
      <c r="G380" s="6" t="n">
        <v>0.999747784026285</v>
      </c>
      <c r="H380" s="7" t="n">
        <v>0.673</v>
      </c>
      <c r="I380" s="7" t="n">
        <v>1.711</v>
      </c>
      <c r="J380" s="6" t="n">
        <v>1</v>
      </c>
    </row>
    <row r="381" customFormat="false" ht="15" hidden="false" customHeight="false" outlineLevel="0" collapsed="false">
      <c r="A381" s="0" t="s">
        <v>115</v>
      </c>
      <c r="B381" s="0" t="s">
        <v>238</v>
      </c>
      <c r="C381" s="0" t="s">
        <v>184</v>
      </c>
      <c r="D381" s="0" t="n">
        <v>2100</v>
      </c>
      <c r="E381" s="6" t="n">
        <v>0.997142857142857</v>
      </c>
      <c r="F381" s="6" t="n">
        <v>0.993780229483795</v>
      </c>
      <c r="G381" s="6" t="n">
        <v>0.998689926064037</v>
      </c>
      <c r="H381" s="7" t="n">
        <v>1.085</v>
      </c>
      <c r="I381" s="7" t="n">
        <v>1.836</v>
      </c>
      <c r="J381" s="6" t="n">
        <v>1</v>
      </c>
    </row>
    <row r="382" customFormat="false" ht="15" hidden="false" customHeight="false" outlineLevel="0" collapsed="false">
      <c r="A382" s="0" t="s">
        <v>115</v>
      </c>
      <c r="B382" s="0" t="s">
        <v>239</v>
      </c>
      <c r="C382" s="0" t="s">
        <v>181</v>
      </c>
      <c r="D382" s="0" t="n">
        <v>700</v>
      </c>
      <c r="E382" s="6" t="n">
        <v>0.997142857142857</v>
      </c>
      <c r="F382" s="6" t="n">
        <v>0.989642722089369</v>
      </c>
      <c r="G382" s="6" t="n">
        <v>0.999216134789793</v>
      </c>
      <c r="H382" s="7" t="n">
        <v>1.267</v>
      </c>
      <c r="I382" s="7" t="n">
        <v>2.436</v>
      </c>
      <c r="J382" s="6" t="n">
        <v>1</v>
      </c>
    </row>
    <row r="383" customFormat="false" ht="15" hidden="false" customHeight="false" outlineLevel="0" collapsed="false">
      <c r="A383" s="0" t="s">
        <v>115</v>
      </c>
      <c r="B383" s="0" t="s">
        <v>239</v>
      </c>
      <c r="C383" s="0" t="s">
        <v>182</v>
      </c>
      <c r="D383" s="0" t="n">
        <v>700</v>
      </c>
      <c r="E383" s="6" t="n">
        <v>0.997142857142857</v>
      </c>
      <c r="F383" s="6" t="n">
        <v>0.989642722089369</v>
      </c>
      <c r="G383" s="6" t="n">
        <v>0.999216134789793</v>
      </c>
      <c r="H383" s="7" t="n">
        <v>0.977</v>
      </c>
      <c r="I383" s="7" t="n">
        <v>2.374</v>
      </c>
      <c r="J383" s="6" t="n">
        <v>1</v>
      </c>
    </row>
    <row r="384" customFormat="false" ht="15" hidden="false" customHeight="false" outlineLevel="0" collapsed="false">
      <c r="A384" s="0" t="s">
        <v>115</v>
      </c>
      <c r="B384" s="0" t="s">
        <v>239</v>
      </c>
      <c r="C384" s="0" t="s">
        <v>183</v>
      </c>
      <c r="D384" s="0" t="n">
        <v>700</v>
      </c>
      <c r="E384" s="6" t="n">
        <v>1</v>
      </c>
      <c r="F384" s="6" t="n">
        <v>0.994541953757777</v>
      </c>
      <c r="G384" s="6" t="n">
        <v>1</v>
      </c>
      <c r="H384" s="7" t="n">
        <v>0.726</v>
      </c>
      <c r="I384" s="7" t="n">
        <v>2.403</v>
      </c>
      <c r="J384" s="6" t="n">
        <v>1</v>
      </c>
    </row>
    <row r="385" customFormat="false" ht="15" hidden="false" customHeight="false" outlineLevel="0" collapsed="false">
      <c r="A385" s="0" t="s">
        <v>115</v>
      </c>
      <c r="B385" s="0" t="s">
        <v>239</v>
      </c>
      <c r="C385" s="0" t="s">
        <v>184</v>
      </c>
      <c r="D385" s="0" t="n">
        <v>2100</v>
      </c>
      <c r="E385" s="6" t="n">
        <v>0.998095238095238</v>
      </c>
      <c r="F385" s="6" t="n">
        <v>0.995112393687503</v>
      </c>
      <c r="G385" s="6" t="n">
        <v>0.999259045683217</v>
      </c>
      <c r="H385" s="7" t="n">
        <v>0.999</v>
      </c>
      <c r="I385" s="7" t="n">
        <v>2.42</v>
      </c>
      <c r="J385" s="6" t="n">
        <v>1</v>
      </c>
    </row>
    <row r="386" customFormat="false" ht="15" hidden="false" customHeight="false" outlineLevel="0" collapsed="false">
      <c r="A386" s="0" t="s">
        <v>129</v>
      </c>
      <c r="B386" s="0" t="s">
        <v>228</v>
      </c>
      <c r="C386" s="0" t="s">
        <v>181</v>
      </c>
      <c r="D386" s="0" t="n">
        <v>700</v>
      </c>
      <c r="E386" s="6" t="n">
        <v>0.998571428571429</v>
      </c>
      <c r="F386" s="6" t="n">
        <v>0.991952621292185</v>
      </c>
      <c r="G386" s="6" t="n">
        <v>0.999747784026285</v>
      </c>
      <c r="H386" s="7" t="n">
        <v>0.559</v>
      </c>
      <c r="I386" s="7" t="n">
        <v>1.123</v>
      </c>
      <c r="J386" s="6" t="n">
        <v>0.997138769670959</v>
      </c>
    </row>
    <row r="387" customFormat="false" ht="15" hidden="false" customHeight="false" outlineLevel="0" collapsed="false">
      <c r="A387" s="0" t="s">
        <v>129</v>
      </c>
      <c r="B387" s="0" t="s">
        <v>228</v>
      </c>
      <c r="C387" s="0" t="s">
        <v>182</v>
      </c>
      <c r="D387" s="0" t="n">
        <v>700</v>
      </c>
      <c r="E387" s="6" t="n">
        <v>0.997142857142857</v>
      </c>
      <c r="F387" s="6" t="n">
        <v>0.989642722089369</v>
      </c>
      <c r="G387" s="6" t="n">
        <v>0.999216134789793</v>
      </c>
      <c r="H387" s="7" t="n">
        <v>0.7155</v>
      </c>
      <c r="I387" s="7" t="n">
        <v>1.81</v>
      </c>
      <c r="J387" s="6" t="n">
        <v>0.997134670487106</v>
      </c>
    </row>
    <row r="388" customFormat="false" ht="15" hidden="false" customHeight="false" outlineLevel="0" collapsed="false">
      <c r="A388" s="0" t="s">
        <v>129</v>
      </c>
      <c r="B388" s="0" t="s">
        <v>228</v>
      </c>
      <c r="C388" s="0" t="s">
        <v>183</v>
      </c>
      <c r="D388" s="0" t="n">
        <v>700</v>
      </c>
      <c r="E388" s="6" t="n">
        <v>1</v>
      </c>
      <c r="F388" s="6" t="n">
        <v>0.994541953757777</v>
      </c>
      <c r="G388" s="6" t="n">
        <v>1</v>
      </c>
      <c r="H388" s="7" t="n">
        <v>1.0155</v>
      </c>
      <c r="I388" s="7" t="n">
        <v>1.454</v>
      </c>
      <c r="J388" s="6" t="n">
        <v>0.998571428571429</v>
      </c>
    </row>
    <row r="389" customFormat="false" ht="15" hidden="false" customHeight="false" outlineLevel="0" collapsed="false">
      <c r="A389" s="0" t="s">
        <v>129</v>
      </c>
      <c r="B389" s="0" t="s">
        <v>228</v>
      </c>
      <c r="C389" s="0" t="s">
        <v>184</v>
      </c>
      <c r="D389" s="0" t="n">
        <v>2100</v>
      </c>
      <c r="E389" s="6" t="n">
        <v>0.998571428571429</v>
      </c>
      <c r="F389" s="6" t="n">
        <v>0.995808031986912</v>
      </c>
      <c r="G389" s="6" t="n">
        <v>0.999514049295253</v>
      </c>
      <c r="H389" s="7" t="n">
        <v>0.82</v>
      </c>
      <c r="I389" s="7" t="n">
        <v>1.447</v>
      </c>
      <c r="J389" s="6" t="n">
        <v>0.997615641392465</v>
      </c>
    </row>
    <row r="390" customFormat="false" ht="15" hidden="false" customHeight="false" outlineLevel="0" collapsed="false">
      <c r="A390" s="0" t="s">
        <v>129</v>
      </c>
      <c r="B390" s="0" t="s">
        <v>229</v>
      </c>
      <c r="C390" s="0" t="s">
        <v>181</v>
      </c>
      <c r="D390" s="0" t="n">
        <v>700</v>
      </c>
      <c r="E390" s="6" t="n">
        <v>1</v>
      </c>
      <c r="F390" s="6" t="n">
        <v>0.994541953757777</v>
      </c>
      <c r="G390" s="6" t="n">
        <v>1</v>
      </c>
      <c r="H390" s="7" t="n">
        <v>0.7065</v>
      </c>
      <c r="I390" s="7" t="n">
        <v>1.177</v>
      </c>
      <c r="J390" s="6" t="n">
        <v>1</v>
      </c>
    </row>
    <row r="391" customFormat="false" ht="15" hidden="false" customHeight="false" outlineLevel="0" collapsed="false">
      <c r="A391" s="0" t="s">
        <v>129</v>
      </c>
      <c r="B391" s="0" t="s">
        <v>229</v>
      </c>
      <c r="C391" s="0" t="s">
        <v>182</v>
      </c>
      <c r="D391" s="0" t="n">
        <v>700</v>
      </c>
      <c r="E391" s="6" t="n">
        <v>1</v>
      </c>
      <c r="F391" s="6" t="n">
        <v>0.994541953757777</v>
      </c>
      <c r="G391" s="6" t="n">
        <v>1</v>
      </c>
      <c r="H391" s="7" t="n">
        <v>0.2595</v>
      </c>
      <c r="I391" s="7" t="n">
        <v>0.649</v>
      </c>
      <c r="J391" s="6" t="n">
        <v>1</v>
      </c>
    </row>
    <row r="392" customFormat="false" ht="15" hidden="false" customHeight="false" outlineLevel="0" collapsed="false">
      <c r="A392" s="0" t="s">
        <v>129</v>
      </c>
      <c r="B392" s="0" t="s">
        <v>229</v>
      </c>
      <c r="C392" s="0" t="s">
        <v>183</v>
      </c>
      <c r="D392" s="0" t="n">
        <v>700</v>
      </c>
      <c r="E392" s="6" t="n">
        <v>0.997142857142857</v>
      </c>
      <c r="F392" s="6" t="n">
        <v>0.989642722089369</v>
      </c>
      <c r="G392" s="6" t="n">
        <v>0.999216134789793</v>
      </c>
      <c r="H392" s="7" t="n">
        <v>0.755</v>
      </c>
      <c r="I392" s="7" t="n">
        <v>1.137</v>
      </c>
      <c r="J392" s="6" t="n">
        <v>1</v>
      </c>
    </row>
    <row r="393" customFormat="false" ht="15" hidden="false" customHeight="false" outlineLevel="0" collapsed="false">
      <c r="A393" s="0" t="s">
        <v>129</v>
      </c>
      <c r="B393" s="0" t="s">
        <v>229</v>
      </c>
      <c r="C393" s="0" t="s">
        <v>184</v>
      </c>
      <c r="D393" s="0" t="n">
        <v>2100</v>
      </c>
      <c r="E393" s="6" t="n">
        <v>0.999047619047619</v>
      </c>
      <c r="F393" s="6" t="n">
        <v>0.996533933798472</v>
      </c>
      <c r="G393" s="6" t="n">
        <v>0.999738789395138</v>
      </c>
      <c r="H393" s="7" t="n">
        <v>0.66</v>
      </c>
      <c r="I393" s="7" t="n">
        <v>1.102</v>
      </c>
      <c r="J393" s="6" t="n">
        <v>1</v>
      </c>
    </row>
    <row r="394" customFormat="false" ht="15" hidden="false" customHeight="false" outlineLevel="0" collapsed="false">
      <c r="A394" s="0" t="s">
        <v>129</v>
      </c>
      <c r="B394" s="0" t="s">
        <v>230</v>
      </c>
      <c r="C394" s="0" t="s">
        <v>181</v>
      </c>
      <c r="D394" s="0" t="n">
        <v>700</v>
      </c>
      <c r="E394" s="6" t="n">
        <v>1</v>
      </c>
      <c r="F394" s="6" t="n">
        <v>0.994541953757777</v>
      </c>
      <c r="G394" s="6" t="n">
        <v>1</v>
      </c>
      <c r="H394" s="7" t="n">
        <v>0.7215</v>
      </c>
      <c r="I394" s="7" t="n">
        <v>1.168</v>
      </c>
      <c r="J394" s="6" t="n">
        <v>0.998571428571429</v>
      </c>
    </row>
    <row r="395" customFormat="false" ht="15" hidden="false" customHeight="false" outlineLevel="0" collapsed="false">
      <c r="A395" s="0" t="s">
        <v>129</v>
      </c>
      <c r="B395" s="0" t="s">
        <v>230</v>
      </c>
      <c r="C395" s="0" t="s">
        <v>182</v>
      </c>
      <c r="D395" s="0" t="n">
        <v>700</v>
      </c>
      <c r="E395" s="6" t="n">
        <v>1</v>
      </c>
      <c r="F395" s="6" t="n">
        <v>0.994541953757777</v>
      </c>
      <c r="G395" s="6" t="n">
        <v>1</v>
      </c>
      <c r="H395" s="7" t="n">
        <v>0.2935</v>
      </c>
      <c r="I395" s="7" t="n">
        <v>1.104</v>
      </c>
      <c r="J395" s="6" t="n">
        <v>0.998571428571429</v>
      </c>
    </row>
    <row r="396" customFormat="false" ht="15" hidden="false" customHeight="false" outlineLevel="0" collapsed="false">
      <c r="A396" s="0" t="s">
        <v>129</v>
      </c>
      <c r="B396" s="0" t="s">
        <v>230</v>
      </c>
      <c r="C396" s="0" t="s">
        <v>183</v>
      </c>
      <c r="D396" s="0" t="n">
        <v>700</v>
      </c>
      <c r="E396" s="6" t="n">
        <v>1</v>
      </c>
      <c r="F396" s="6" t="n">
        <v>0.994541953757777</v>
      </c>
      <c r="G396" s="6" t="n">
        <v>1</v>
      </c>
      <c r="H396" s="7" t="n">
        <v>0.775</v>
      </c>
      <c r="I396" s="7" t="n">
        <v>1.14</v>
      </c>
      <c r="J396" s="6" t="n">
        <v>0.994285714285714</v>
      </c>
    </row>
    <row r="397" customFormat="false" ht="15" hidden="false" customHeight="false" outlineLevel="0" collapsed="false">
      <c r="A397" s="0" t="s">
        <v>129</v>
      </c>
      <c r="B397" s="0" t="s">
        <v>230</v>
      </c>
      <c r="C397" s="0" t="s">
        <v>184</v>
      </c>
      <c r="D397" s="0" t="n">
        <v>2100</v>
      </c>
      <c r="E397" s="6" t="n">
        <v>1</v>
      </c>
      <c r="F397" s="6" t="n">
        <v>0.998174007016498</v>
      </c>
      <c r="G397" s="6" t="n">
        <v>1</v>
      </c>
      <c r="H397" s="7" t="n">
        <v>0.686</v>
      </c>
      <c r="I397" s="7" t="n">
        <v>1.159</v>
      </c>
      <c r="J397" s="6" t="n">
        <v>0.997142857142857</v>
      </c>
    </row>
    <row r="398" customFormat="false" ht="15" hidden="false" customHeight="false" outlineLevel="0" collapsed="false">
      <c r="A398" s="0" t="s">
        <v>129</v>
      </c>
      <c r="B398" s="0" t="s">
        <v>231</v>
      </c>
      <c r="C398" s="0" t="s">
        <v>181</v>
      </c>
      <c r="D398" s="0" t="n">
        <v>700</v>
      </c>
      <c r="E398" s="6" t="n">
        <v>1</v>
      </c>
      <c r="F398" s="6" t="n">
        <v>0.994541953757777</v>
      </c>
      <c r="G398" s="6" t="n">
        <v>1</v>
      </c>
      <c r="H398" s="7" t="n">
        <v>0.69</v>
      </c>
      <c r="I398" s="7" t="n">
        <v>1.108</v>
      </c>
      <c r="J398" s="6" t="n">
        <v>1</v>
      </c>
    </row>
    <row r="399" customFormat="false" ht="15" hidden="false" customHeight="false" outlineLevel="0" collapsed="false">
      <c r="A399" s="0" t="s">
        <v>129</v>
      </c>
      <c r="B399" s="0" t="s">
        <v>231</v>
      </c>
      <c r="C399" s="0" t="s">
        <v>182</v>
      </c>
      <c r="D399" s="0" t="n">
        <v>700</v>
      </c>
      <c r="E399" s="6" t="n">
        <v>1</v>
      </c>
      <c r="F399" s="6" t="n">
        <v>0.994541953757777</v>
      </c>
      <c r="G399" s="6" t="n">
        <v>1</v>
      </c>
      <c r="H399" s="7" t="n">
        <v>0.232</v>
      </c>
      <c r="I399" s="7" t="n">
        <v>0.482</v>
      </c>
      <c r="J399" s="6" t="n">
        <v>0.998571428571429</v>
      </c>
    </row>
    <row r="400" customFormat="false" ht="15" hidden="false" customHeight="false" outlineLevel="0" collapsed="false">
      <c r="A400" s="0" t="s">
        <v>129</v>
      </c>
      <c r="B400" s="0" t="s">
        <v>231</v>
      </c>
      <c r="C400" s="0" t="s">
        <v>183</v>
      </c>
      <c r="D400" s="0" t="n">
        <v>700</v>
      </c>
      <c r="E400" s="6" t="n">
        <v>1</v>
      </c>
      <c r="F400" s="6" t="n">
        <v>0.994541953757777</v>
      </c>
      <c r="G400" s="6" t="n">
        <v>1</v>
      </c>
      <c r="H400" s="7" t="n">
        <v>0.7165</v>
      </c>
      <c r="I400" s="7" t="n">
        <v>0.984</v>
      </c>
      <c r="J400" s="6" t="n">
        <v>1</v>
      </c>
    </row>
    <row r="401" customFormat="false" ht="15" hidden="false" customHeight="false" outlineLevel="0" collapsed="false">
      <c r="A401" s="0" t="s">
        <v>129</v>
      </c>
      <c r="B401" s="0" t="s">
        <v>231</v>
      </c>
      <c r="C401" s="0" t="s">
        <v>184</v>
      </c>
      <c r="D401" s="0" t="n">
        <v>2100</v>
      </c>
      <c r="E401" s="6" t="n">
        <v>1</v>
      </c>
      <c r="F401" s="6" t="n">
        <v>0.998174007016498</v>
      </c>
      <c r="G401" s="6" t="n">
        <v>1</v>
      </c>
      <c r="H401" s="7" t="n">
        <v>0.633</v>
      </c>
      <c r="I401" s="7" t="n">
        <v>1.019</v>
      </c>
      <c r="J401" s="6" t="n">
        <v>0.99952380952381</v>
      </c>
    </row>
    <row r="402" customFormat="false" ht="15" hidden="false" customHeight="false" outlineLevel="0" collapsed="false">
      <c r="A402" s="0" t="s">
        <v>129</v>
      </c>
      <c r="B402" s="0" t="s">
        <v>232</v>
      </c>
      <c r="C402" s="0" t="s">
        <v>181</v>
      </c>
      <c r="D402" s="0" t="n">
        <v>700</v>
      </c>
      <c r="E402" s="6" t="n">
        <v>1</v>
      </c>
      <c r="F402" s="6" t="n">
        <v>0.994541953757777</v>
      </c>
      <c r="G402" s="6" t="n">
        <v>1</v>
      </c>
      <c r="H402" s="7" t="n">
        <v>0.7195</v>
      </c>
      <c r="I402" s="7" t="n">
        <v>1.135</v>
      </c>
      <c r="J402" s="6" t="n">
        <v>0.998571428571429</v>
      </c>
    </row>
    <row r="403" customFormat="false" ht="15" hidden="false" customHeight="false" outlineLevel="0" collapsed="false">
      <c r="A403" s="0" t="s">
        <v>129</v>
      </c>
      <c r="B403" s="0" t="s">
        <v>232</v>
      </c>
      <c r="C403" s="0" t="s">
        <v>182</v>
      </c>
      <c r="D403" s="0" t="n">
        <v>700</v>
      </c>
      <c r="E403" s="6" t="n">
        <v>1</v>
      </c>
      <c r="F403" s="6" t="n">
        <v>0.994541953757777</v>
      </c>
      <c r="G403" s="6" t="n">
        <v>1</v>
      </c>
      <c r="H403" s="7" t="n">
        <v>0.299</v>
      </c>
      <c r="I403" s="7" t="n">
        <v>0.539</v>
      </c>
      <c r="J403" s="6" t="n">
        <v>0.998571428571429</v>
      </c>
    </row>
    <row r="404" customFormat="false" ht="15" hidden="false" customHeight="false" outlineLevel="0" collapsed="false">
      <c r="A404" s="0" t="s">
        <v>129</v>
      </c>
      <c r="B404" s="0" t="s">
        <v>232</v>
      </c>
      <c r="C404" s="0" t="s">
        <v>183</v>
      </c>
      <c r="D404" s="0" t="n">
        <v>700</v>
      </c>
      <c r="E404" s="6" t="n">
        <v>1</v>
      </c>
      <c r="F404" s="6" t="n">
        <v>0.994541953757777</v>
      </c>
      <c r="G404" s="6" t="n">
        <v>1</v>
      </c>
      <c r="H404" s="7" t="n">
        <v>0.7835</v>
      </c>
      <c r="I404" s="7" t="n">
        <v>1.085</v>
      </c>
      <c r="J404" s="6" t="n">
        <v>1</v>
      </c>
    </row>
    <row r="405" customFormat="false" ht="15" hidden="false" customHeight="false" outlineLevel="0" collapsed="false">
      <c r="A405" s="0" t="s">
        <v>129</v>
      </c>
      <c r="B405" s="0" t="s">
        <v>232</v>
      </c>
      <c r="C405" s="0" t="s">
        <v>184</v>
      </c>
      <c r="D405" s="0" t="n">
        <v>2100</v>
      </c>
      <c r="E405" s="6" t="n">
        <v>1</v>
      </c>
      <c r="F405" s="6" t="n">
        <v>0.998174007016498</v>
      </c>
      <c r="G405" s="6" t="n">
        <v>1</v>
      </c>
      <c r="H405" s="7" t="n">
        <v>0.695</v>
      </c>
      <c r="I405" s="7" t="n">
        <v>1.075</v>
      </c>
      <c r="J405" s="6" t="n">
        <v>0.999047619047619</v>
      </c>
    </row>
    <row r="406" customFormat="false" ht="15" hidden="false" customHeight="false" outlineLevel="0" collapsed="false">
      <c r="A406" s="0" t="s">
        <v>129</v>
      </c>
      <c r="B406" s="0" t="s">
        <v>233</v>
      </c>
      <c r="C406" s="0" t="s">
        <v>181</v>
      </c>
      <c r="D406" s="0" t="n">
        <v>700</v>
      </c>
      <c r="E406" s="6" t="n">
        <v>1</v>
      </c>
      <c r="F406" s="6" t="n">
        <v>0.994541953757777</v>
      </c>
      <c r="G406" s="6" t="n">
        <v>1</v>
      </c>
      <c r="H406" s="7" t="n">
        <v>0.937</v>
      </c>
      <c r="I406" s="7" t="n">
        <v>1.431</v>
      </c>
      <c r="J406" s="6" t="n">
        <v>1</v>
      </c>
    </row>
    <row r="407" customFormat="false" ht="15" hidden="false" customHeight="false" outlineLevel="0" collapsed="false">
      <c r="A407" s="0" t="s">
        <v>129</v>
      </c>
      <c r="B407" s="0" t="s">
        <v>233</v>
      </c>
      <c r="C407" s="0" t="s">
        <v>182</v>
      </c>
      <c r="D407" s="0" t="n">
        <v>700</v>
      </c>
      <c r="E407" s="6" t="n">
        <v>1</v>
      </c>
      <c r="F407" s="6" t="n">
        <v>0.994541953757777</v>
      </c>
      <c r="G407" s="6" t="n">
        <v>1</v>
      </c>
      <c r="H407" s="7" t="n">
        <v>0.959</v>
      </c>
      <c r="I407" s="7" t="n">
        <v>1.335</v>
      </c>
      <c r="J407" s="6" t="n">
        <v>1</v>
      </c>
    </row>
    <row r="408" customFormat="false" ht="15" hidden="false" customHeight="false" outlineLevel="0" collapsed="false">
      <c r="A408" s="0" t="s">
        <v>129</v>
      </c>
      <c r="B408" s="0" t="s">
        <v>233</v>
      </c>
      <c r="C408" s="0" t="s">
        <v>183</v>
      </c>
      <c r="D408" s="0" t="n">
        <v>700</v>
      </c>
      <c r="E408" s="6" t="n">
        <v>1</v>
      </c>
      <c r="F408" s="6" t="n">
        <v>0.994541953757777</v>
      </c>
      <c r="G408" s="6" t="n">
        <v>1</v>
      </c>
      <c r="H408" s="7" t="n">
        <v>1.351</v>
      </c>
      <c r="I408" s="7" t="n">
        <v>1.681</v>
      </c>
      <c r="J408" s="6" t="n">
        <v>1</v>
      </c>
    </row>
    <row r="409" customFormat="false" ht="15" hidden="false" customHeight="false" outlineLevel="0" collapsed="false">
      <c r="A409" s="0" t="s">
        <v>129</v>
      </c>
      <c r="B409" s="0" t="s">
        <v>233</v>
      </c>
      <c r="C409" s="0" t="s">
        <v>184</v>
      </c>
      <c r="D409" s="0" t="n">
        <v>2100</v>
      </c>
      <c r="E409" s="6" t="n">
        <v>1</v>
      </c>
      <c r="F409" s="6" t="n">
        <v>0.998174007016498</v>
      </c>
      <c r="G409" s="6" t="n">
        <v>1</v>
      </c>
      <c r="H409" s="7" t="n">
        <v>1.143</v>
      </c>
      <c r="I409" s="7" t="n">
        <v>1.548</v>
      </c>
      <c r="J409" s="6" t="n">
        <v>1</v>
      </c>
    </row>
    <row r="410" customFormat="false" ht="15" hidden="false" customHeight="false" outlineLevel="0" collapsed="false">
      <c r="A410" s="0" t="s">
        <v>129</v>
      </c>
      <c r="B410" s="0" t="s">
        <v>234</v>
      </c>
      <c r="C410" s="0" t="s">
        <v>181</v>
      </c>
      <c r="D410" s="0" t="n">
        <v>700</v>
      </c>
      <c r="E410" s="6" t="n">
        <v>1</v>
      </c>
      <c r="F410" s="6" t="n">
        <v>0.994541953757777</v>
      </c>
      <c r="G410" s="6" t="n">
        <v>1</v>
      </c>
      <c r="H410" s="7" t="n">
        <v>1.467</v>
      </c>
      <c r="I410" s="7" t="n">
        <v>2.076</v>
      </c>
      <c r="J410" s="6" t="n">
        <v>1</v>
      </c>
    </row>
    <row r="411" customFormat="false" ht="15" hidden="false" customHeight="false" outlineLevel="0" collapsed="false">
      <c r="A411" s="0" t="s">
        <v>129</v>
      </c>
      <c r="B411" s="0" t="s">
        <v>234</v>
      </c>
      <c r="C411" s="0" t="s">
        <v>182</v>
      </c>
      <c r="D411" s="0" t="n">
        <v>700</v>
      </c>
      <c r="E411" s="6" t="n">
        <v>0.997142857142857</v>
      </c>
      <c r="F411" s="6" t="n">
        <v>0.989642722089369</v>
      </c>
      <c r="G411" s="6" t="n">
        <v>0.999216134789793</v>
      </c>
      <c r="H411" s="7" t="n">
        <v>1.1765</v>
      </c>
      <c r="I411" s="7" t="n">
        <v>1.925</v>
      </c>
      <c r="J411" s="6" t="n">
        <v>1</v>
      </c>
    </row>
    <row r="412" customFormat="false" ht="15" hidden="false" customHeight="false" outlineLevel="0" collapsed="false">
      <c r="A412" s="0" t="s">
        <v>129</v>
      </c>
      <c r="B412" s="0" t="s">
        <v>234</v>
      </c>
      <c r="C412" s="0" t="s">
        <v>183</v>
      </c>
      <c r="D412" s="0" t="n">
        <v>700</v>
      </c>
      <c r="E412" s="6" t="n">
        <v>0.995714285714286</v>
      </c>
      <c r="F412" s="6" t="n">
        <v>0.987475859383073</v>
      </c>
      <c r="G412" s="6" t="n">
        <v>0.99854144905678</v>
      </c>
      <c r="H412" s="7" t="n">
        <v>0.546</v>
      </c>
      <c r="I412" s="7" t="n">
        <v>0.948</v>
      </c>
      <c r="J412" s="6" t="n">
        <v>1</v>
      </c>
    </row>
    <row r="413" customFormat="false" ht="15" hidden="false" customHeight="false" outlineLevel="0" collapsed="false">
      <c r="A413" s="0" t="s">
        <v>129</v>
      </c>
      <c r="B413" s="0" t="s">
        <v>234</v>
      </c>
      <c r="C413" s="0" t="s">
        <v>184</v>
      </c>
      <c r="D413" s="0" t="n">
        <v>2100</v>
      </c>
      <c r="E413" s="6" t="n">
        <v>0.997619047619048</v>
      </c>
      <c r="F413" s="6" t="n">
        <v>0.994438198537809</v>
      </c>
      <c r="G413" s="6" t="n">
        <v>0.998982598921468</v>
      </c>
      <c r="H413" s="7" t="n">
        <v>1.124</v>
      </c>
      <c r="I413" s="7" t="n">
        <v>1.848</v>
      </c>
      <c r="J413" s="6" t="n">
        <v>1</v>
      </c>
    </row>
    <row r="414" customFormat="false" ht="15" hidden="false" customHeight="false" outlineLevel="0" collapsed="false">
      <c r="A414" s="0" t="s">
        <v>129</v>
      </c>
      <c r="B414" s="0" t="s">
        <v>235</v>
      </c>
      <c r="C414" s="0" t="s">
        <v>181</v>
      </c>
      <c r="D414" s="0" t="n">
        <v>700</v>
      </c>
      <c r="E414" s="6" t="n">
        <v>1</v>
      </c>
      <c r="F414" s="6" t="n">
        <v>0.994541953757777</v>
      </c>
      <c r="G414" s="6" t="n">
        <v>1</v>
      </c>
      <c r="H414" s="7" t="n">
        <v>0.789</v>
      </c>
      <c r="I414" s="7" t="n">
        <v>1.285</v>
      </c>
      <c r="J414" s="6" t="n">
        <v>1</v>
      </c>
    </row>
    <row r="415" customFormat="false" ht="15" hidden="false" customHeight="false" outlineLevel="0" collapsed="false">
      <c r="A415" s="0" t="s">
        <v>129</v>
      </c>
      <c r="B415" s="0" t="s">
        <v>235</v>
      </c>
      <c r="C415" s="0" t="s">
        <v>182</v>
      </c>
      <c r="D415" s="0" t="n">
        <v>700</v>
      </c>
      <c r="E415" s="6" t="n">
        <v>1</v>
      </c>
      <c r="F415" s="6" t="n">
        <v>0.994541953757777</v>
      </c>
      <c r="G415" s="6" t="n">
        <v>1</v>
      </c>
      <c r="H415" s="7" t="n">
        <v>0.302</v>
      </c>
      <c r="I415" s="7" t="n">
        <v>0.656</v>
      </c>
      <c r="J415" s="6" t="n">
        <v>1</v>
      </c>
    </row>
    <row r="416" customFormat="false" ht="15" hidden="false" customHeight="false" outlineLevel="0" collapsed="false">
      <c r="A416" s="0" t="s">
        <v>129</v>
      </c>
      <c r="B416" s="0" t="s">
        <v>235</v>
      </c>
      <c r="C416" s="0" t="s">
        <v>183</v>
      </c>
      <c r="D416" s="0" t="n">
        <v>700</v>
      </c>
      <c r="E416" s="6" t="n">
        <v>1</v>
      </c>
      <c r="F416" s="6" t="n">
        <v>0.994541953757777</v>
      </c>
      <c r="G416" s="6" t="n">
        <v>1</v>
      </c>
      <c r="H416" s="7" t="n">
        <v>0.827</v>
      </c>
      <c r="I416" s="7" t="n">
        <v>1.179</v>
      </c>
      <c r="J416" s="6" t="n">
        <v>1</v>
      </c>
    </row>
    <row r="417" customFormat="false" ht="15" hidden="false" customHeight="false" outlineLevel="0" collapsed="false">
      <c r="A417" s="0" t="s">
        <v>129</v>
      </c>
      <c r="B417" s="0" t="s">
        <v>235</v>
      </c>
      <c r="C417" s="0" t="s">
        <v>184</v>
      </c>
      <c r="D417" s="0" t="n">
        <v>2100</v>
      </c>
      <c r="E417" s="6" t="n">
        <v>1</v>
      </c>
      <c r="F417" s="6" t="n">
        <v>0.998174007016498</v>
      </c>
      <c r="G417" s="6" t="n">
        <v>1</v>
      </c>
      <c r="H417" s="7" t="n">
        <v>0.694</v>
      </c>
      <c r="I417" s="7" t="n">
        <v>1.164</v>
      </c>
      <c r="J417" s="6" t="n">
        <v>1</v>
      </c>
    </row>
    <row r="418" customFormat="false" ht="15" hidden="false" customHeight="false" outlineLevel="0" collapsed="false">
      <c r="A418" s="0" t="s">
        <v>129</v>
      </c>
      <c r="B418" s="0" t="s">
        <v>236</v>
      </c>
      <c r="C418" s="0" t="s">
        <v>181</v>
      </c>
      <c r="D418" s="0" t="n">
        <v>700</v>
      </c>
      <c r="E418" s="6" t="n">
        <v>1</v>
      </c>
      <c r="F418" s="6" t="n">
        <v>0.994541953757777</v>
      </c>
      <c r="G418" s="6" t="n">
        <v>1</v>
      </c>
      <c r="H418" s="7" t="n">
        <v>0.8215</v>
      </c>
      <c r="I418" s="7" t="n">
        <v>1.279</v>
      </c>
      <c r="J418" s="6" t="n">
        <v>0.995714285714286</v>
      </c>
    </row>
    <row r="419" customFormat="false" ht="15" hidden="false" customHeight="false" outlineLevel="0" collapsed="false">
      <c r="A419" s="0" t="s">
        <v>129</v>
      </c>
      <c r="B419" s="0" t="s">
        <v>236</v>
      </c>
      <c r="C419" s="0" t="s">
        <v>182</v>
      </c>
      <c r="D419" s="0" t="n">
        <v>700</v>
      </c>
      <c r="E419" s="6" t="n">
        <v>1</v>
      </c>
      <c r="F419" s="6" t="n">
        <v>0.994541953757777</v>
      </c>
      <c r="G419" s="6" t="n">
        <v>1</v>
      </c>
      <c r="H419" s="7" t="n">
        <v>0.397</v>
      </c>
      <c r="I419" s="7" t="n">
        <v>0.672</v>
      </c>
      <c r="J419" s="6" t="n">
        <v>0.995714285714286</v>
      </c>
    </row>
    <row r="420" customFormat="false" ht="15" hidden="false" customHeight="false" outlineLevel="0" collapsed="false">
      <c r="A420" s="0" t="s">
        <v>129</v>
      </c>
      <c r="B420" s="0" t="s">
        <v>236</v>
      </c>
      <c r="C420" s="0" t="s">
        <v>183</v>
      </c>
      <c r="D420" s="0" t="n">
        <v>700</v>
      </c>
      <c r="E420" s="6" t="n">
        <v>0.998571428571429</v>
      </c>
      <c r="F420" s="6" t="n">
        <v>0.991952621292185</v>
      </c>
      <c r="G420" s="6" t="n">
        <v>0.999747784026285</v>
      </c>
      <c r="H420" s="7" t="n">
        <v>0.895</v>
      </c>
      <c r="I420" s="7" t="n">
        <v>1.235</v>
      </c>
      <c r="J420" s="6" t="n">
        <v>0.992846924177396</v>
      </c>
    </row>
    <row r="421" customFormat="false" ht="15" hidden="false" customHeight="false" outlineLevel="0" collapsed="false">
      <c r="A421" s="0" t="s">
        <v>129</v>
      </c>
      <c r="B421" s="0" t="s">
        <v>236</v>
      </c>
      <c r="C421" s="0" t="s">
        <v>184</v>
      </c>
      <c r="D421" s="0" t="n">
        <v>2100</v>
      </c>
      <c r="E421" s="6" t="n">
        <v>0.99952380952381</v>
      </c>
      <c r="F421" s="6" t="n">
        <v>0.997307427200723</v>
      </c>
      <c r="G421" s="6" t="n">
        <v>0.999915937904331</v>
      </c>
      <c r="H421" s="7" t="n">
        <v>0.777</v>
      </c>
      <c r="I421" s="7" t="n">
        <v>1.187</v>
      </c>
      <c r="J421" s="6" t="n">
        <v>0.994759409242496</v>
      </c>
    </row>
    <row r="422" customFormat="false" ht="15" hidden="false" customHeight="false" outlineLevel="0" collapsed="false">
      <c r="A422" s="0" t="s">
        <v>129</v>
      </c>
      <c r="B422" s="0" t="s">
        <v>237</v>
      </c>
      <c r="C422" s="0" t="s">
        <v>181</v>
      </c>
      <c r="D422" s="0" t="n">
        <v>700</v>
      </c>
      <c r="E422" s="6" t="n">
        <v>1</v>
      </c>
      <c r="F422" s="6" t="n">
        <v>0.994541953757777</v>
      </c>
      <c r="G422" s="6" t="n">
        <v>1</v>
      </c>
      <c r="H422" s="7" t="n">
        <v>0.925</v>
      </c>
      <c r="I422" s="7" t="n">
        <v>1.375</v>
      </c>
      <c r="J422" s="6" t="n">
        <v>0.991428571428571</v>
      </c>
    </row>
    <row r="423" customFormat="false" ht="15" hidden="false" customHeight="false" outlineLevel="0" collapsed="false">
      <c r="A423" s="0" t="s">
        <v>129</v>
      </c>
      <c r="B423" s="0" t="s">
        <v>237</v>
      </c>
      <c r="C423" s="0" t="s">
        <v>182</v>
      </c>
      <c r="D423" s="0" t="n">
        <v>700</v>
      </c>
      <c r="E423" s="6" t="n">
        <v>1</v>
      </c>
      <c r="F423" s="6" t="n">
        <v>0.994541953757777</v>
      </c>
      <c r="G423" s="6" t="n">
        <v>1</v>
      </c>
      <c r="H423" s="7" t="n">
        <v>0.418</v>
      </c>
      <c r="I423" s="7" t="n">
        <v>0.795</v>
      </c>
      <c r="J423" s="6" t="n">
        <v>0.992857142857143</v>
      </c>
    </row>
    <row r="424" customFormat="false" ht="15" hidden="false" customHeight="false" outlineLevel="0" collapsed="false">
      <c r="A424" s="0" t="s">
        <v>129</v>
      </c>
      <c r="B424" s="0" t="s">
        <v>237</v>
      </c>
      <c r="C424" s="0" t="s">
        <v>183</v>
      </c>
      <c r="D424" s="0" t="n">
        <v>700</v>
      </c>
      <c r="E424" s="6" t="n">
        <v>0.998571428571429</v>
      </c>
      <c r="F424" s="6" t="n">
        <v>0.991952621292185</v>
      </c>
      <c r="G424" s="6" t="n">
        <v>0.999747784026285</v>
      </c>
      <c r="H424" s="7" t="n">
        <v>0.991</v>
      </c>
      <c r="I424" s="7" t="n">
        <v>1.342</v>
      </c>
      <c r="J424" s="6" t="n">
        <v>0.994277539341917</v>
      </c>
    </row>
    <row r="425" customFormat="false" ht="15" hidden="false" customHeight="false" outlineLevel="0" collapsed="false">
      <c r="A425" s="0" t="s">
        <v>129</v>
      </c>
      <c r="B425" s="0" t="s">
        <v>237</v>
      </c>
      <c r="C425" s="0" t="s">
        <v>184</v>
      </c>
      <c r="D425" s="0" t="n">
        <v>2100</v>
      </c>
      <c r="E425" s="6" t="n">
        <v>0.99952380952381</v>
      </c>
      <c r="F425" s="6" t="n">
        <v>0.997307427200723</v>
      </c>
      <c r="G425" s="6" t="n">
        <v>0.999915937904331</v>
      </c>
      <c r="H425" s="7" t="n">
        <v>0.821</v>
      </c>
      <c r="I425" s="7" t="n">
        <v>1.301</v>
      </c>
      <c r="J425" s="6" t="n">
        <v>0.992853739876132</v>
      </c>
    </row>
    <row r="426" customFormat="false" ht="15" hidden="false" customHeight="false" outlineLevel="0" collapsed="false">
      <c r="A426" s="0" t="s">
        <v>129</v>
      </c>
      <c r="B426" s="0" t="s">
        <v>238</v>
      </c>
      <c r="C426" s="0" t="s">
        <v>181</v>
      </c>
      <c r="D426" s="0" t="n">
        <v>700</v>
      </c>
      <c r="E426" s="6" t="n">
        <v>1</v>
      </c>
      <c r="F426" s="6" t="n">
        <v>0.994541953757777</v>
      </c>
      <c r="G426" s="6" t="n">
        <v>1</v>
      </c>
      <c r="H426" s="7" t="n">
        <v>1.2675</v>
      </c>
      <c r="I426" s="7" t="n">
        <v>1.707</v>
      </c>
      <c r="J426" s="6" t="n">
        <v>0.997142857142857</v>
      </c>
    </row>
    <row r="427" customFormat="false" ht="15" hidden="false" customHeight="false" outlineLevel="0" collapsed="false">
      <c r="A427" s="0" t="s">
        <v>129</v>
      </c>
      <c r="B427" s="0" t="s">
        <v>238</v>
      </c>
      <c r="C427" s="0" t="s">
        <v>182</v>
      </c>
      <c r="D427" s="0" t="n">
        <v>700</v>
      </c>
      <c r="E427" s="6" t="n">
        <v>0.998571428571429</v>
      </c>
      <c r="F427" s="6" t="n">
        <v>0.991952621292185</v>
      </c>
      <c r="G427" s="6" t="n">
        <v>0.999747784026285</v>
      </c>
      <c r="H427" s="7" t="n">
        <v>1.044</v>
      </c>
      <c r="I427" s="7" t="n">
        <v>1.325</v>
      </c>
      <c r="J427" s="6" t="n">
        <v>1</v>
      </c>
    </row>
    <row r="428" customFormat="false" ht="15" hidden="false" customHeight="false" outlineLevel="0" collapsed="false">
      <c r="A428" s="0" t="s">
        <v>129</v>
      </c>
      <c r="B428" s="0" t="s">
        <v>238</v>
      </c>
      <c r="C428" s="0" t="s">
        <v>183</v>
      </c>
      <c r="D428" s="0" t="n">
        <v>700</v>
      </c>
      <c r="E428" s="6" t="n">
        <v>1</v>
      </c>
      <c r="F428" s="6" t="n">
        <v>0.994541953757777</v>
      </c>
      <c r="G428" s="6" t="n">
        <v>1</v>
      </c>
      <c r="H428" s="7" t="n">
        <v>0.428</v>
      </c>
      <c r="I428" s="7" t="n">
        <v>0.643</v>
      </c>
      <c r="J428" s="6" t="n">
        <v>1</v>
      </c>
    </row>
    <row r="429" customFormat="false" ht="15" hidden="false" customHeight="false" outlineLevel="0" collapsed="false">
      <c r="A429" s="0" t="s">
        <v>129</v>
      </c>
      <c r="B429" s="0" t="s">
        <v>238</v>
      </c>
      <c r="C429" s="0" t="s">
        <v>184</v>
      </c>
      <c r="D429" s="0" t="n">
        <v>2100</v>
      </c>
      <c r="E429" s="6" t="n">
        <v>0.99952380952381</v>
      </c>
      <c r="F429" s="6" t="n">
        <v>0.997307427200723</v>
      </c>
      <c r="G429" s="6" t="n">
        <v>0.999915937904331</v>
      </c>
      <c r="H429" s="7" t="n">
        <v>1.043</v>
      </c>
      <c r="I429" s="7" t="n">
        <v>1.514</v>
      </c>
      <c r="J429" s="6" t="n">
        <v>0.999047165316818</v>
      </c>
    </row>
    <row r="430" customFormat="false" ht="15" hidden="false" customHeight="false" outlineLevel="0" collapsed="false">
      <c r="A430" s="0" t="s">
        <v>129</v>
      </c>
      <c r="B430" s="0" t="s">
        <v>239</v>
      </c>
      <c r="C430" s="0" t="s">
        <v>181</v>
      </c>
      <c r="D430" s="0" t="n">
        <v>700</v>
      </c>
      <c r="E430" s="6" t="n">
        <v>0.998571428571429</v>
      </c>
      <c r="F430" s="6" t="n">
        <v>0.991952621292185</v>
      </c>
      <c r="G430" s="6" t="n">
        <v>0.999747784026285</v>
      </c>
      <c r="H430" s="7" t="n">
        <v>1.227</v>
      </c>
      <c r="I430" s="7" t="n">
        <v>1.846</v>
      </c>
      <c r="J430" s="6" t="n">
        <v>0.998569384835479</v>
      </c>
    </row>
    <row r="431" customFormat="false" ht="15" hidden="false" customHeight="false" outlineLevel="0" collapsed="false">
      <c r="A431" s="0" t="s">
        <v>129</v>
      </c>
      <c r="B431" s="0" t="s">
        <v>239</v>
      </c>
      <c r="C431" s="0" t="s">
        <v>182</v>
      </c>
      <c r="D431" s="0" t="n">
        <v>700</v>
      </c>
      <c r="E431" s="6" t="n">
        <v>0.998571428571429</v>
      </c>
      <c r="F431" s="6" t="n">
        <v>0.991952621292185</v>
      </c>
      <c r="G431" s="6" t="n">
        <v>0.999747784026285</v>
      </c>
      <c r="H431" s="7" t="n">
        <v>0.972</v>
      </c>
      <c r="I431" s="7" t="n">
        <v>1.438</v>
      </c>
      <c r="J431" s="6" t="n">
        <v>0.998569384835479</v>
      </c>
    </row>
    <row r="432" customFormat="false" ht="15" hidden="false" customHeight="false" outlineLevel="0" collapsed="false">
      <c r="A432" s="0" t="s">
        <v>129</v>
      </c>
      <c r="B432" s="0" t="s">
        <v>239</v>
      </c>
      <c r="C432" s="0" t="s">
        <v>183</v>
      </c>
      <c r="D432" s="0" t="n">
        <v>700</v>
      </c>
      <c r="E432" s="6" t="n">
        <v>0.998571428571429</v>
      </c>
      <c r="F432" s="6" t="n">
        <v>0.991952621292185</v>
      </c>
      <c r="G432" s="6" t="n">
        <v>0.999747784026285</v>
      </c>
      <c r="H432" s="7" t="n">
        <v>0.312</v>
      </c>
      <c r="I432" s="7" t="n">
        <v>0.714</v>
      </c>
      <c r="J432" s="6" t="n">
        <v>1</v>
      </c>
    </row>
    <row r="433" customFormat="false" ht="15" hidden="false" customHeight="false" outlineLevel="0" collapsed="false">
      <c r="A433" s="0" t="s">
        <v>129</v>
      </c>
      <c r="B433" s="0" t="s">
        <v>239</v>
      </c>
      <c r="C433" s="0" t="s">
        <v>184</v>
      </c>
      <c r="D433" s="0" t="n">
        <v>2100</v>
      </c>
      <c r="E433" s="6" t="n">
        <v>0.998571428571429</v>
      </c>
      <c r="F433" s="6" t="n">
        <v>0.995808031986912</v>
      </c>
      <c r="G433" s="6" t="n">
        <v>0.999514049295253</v>
      </c>
      <c r="H433" s="7" t="n">
        <v>0.958</v>
      </c>
      <c r="I433" s="7" t="n">
        <v>1.545</v>
      </c>
      <c r="J433" s="6" t="n">
        <v>0.999046256556986</v>
      </c>
    </row>
    <row r="434" customFormat="false" ht="15" hidden="false" customHeight="false" outlineLevel="0" collapsed="false">
      <c r="A434" s="0" t="s">
        <v>141</v>
      </c>
      <c r="B434" s="0" t="s">
        <v>228</v>
      </c>
      <c r="C434" s="0" t="s">
        <v>181</v>
      </c>
      <c r="D434" s="0" t="n">
        <v>700</v>
      </c>
      <c r="E434" s="6" t="n">
        <v>0.998571428571429</v>
      </c>
      <c r="F434" s="6" t="n">
        <v>0.991952621292185</v>
      </c>
      <c r="G434" s="6" t="n">
        <v>0.999747784026285</v>
      </c>
      <c r="H434" s="7" t="n">
        <v>0.207</v>
      </c>
      <c r="I434" s="7" t="n">
        <v>0.37</v>
      </c>
      <c r="J434" s="6" t="n">
        <v>1</v>
      </c>
    </row>
    <row r="435" customFormat="false" ht="15" hidden="false" customHeight="false" outlineLevel="0" collapsed="false">
      <c r="A435" s="0" t="s">
        <v>141</v>
      </c>
      <c r="B435" s="0" t="s">
        <v>228</v>
      </c>
      <c r="C435" s="0" t="s">
        <v>182</v>
      </c>
      <c r="D435" s="0" t="n">
        <v>700</v>
      </c>
      <c r="E435" s="6" t="n">
        <v>1</v>
      </c>
      <c r="F435" s="6" t="n">
        <v>0.994541953757777</v>
      </c>
      <c r="G435" s="6" t="n">
        <v>1</v>
      </c>
      <c r="H435" s="7" t="n">
        <v>0.4625</v>
      </c>
      <c r="I435" s="7" t="n">
        <v>0.929</v>
      </c>
      <c r="J435" s="6" t="n">
        <v>0.997142857142857</v>
      </c>
    </row>
    <row r="436" customFormat="false" ht="15" hidden="false" customHeight="false" outlineLevel="0" collapsed="false">
      <c r="A436" s="0" t="s">
        <v>141</v>
      </c>
      <c r="B436" s="0" t="s">
        <v>228</v>
      </c>
      <c r="C436" s="0" t="s">
        <v>183</v>
      </c>
      <c r="D436" s="0" t="n">
        <v>700</v>
      </c>
      <c r="E436" s="6" t="n">
        <v>1</v>
      </c>
      <c r="F436" s="6" t="n">
        <v>0.994541953757777</v>
      </c>
      <c r="G436" s="6" t="n">
        <v>1</v>
      </c>
      <c r="H436" s="7" t="n">
        <v>1.0605</v>
      </c>
      <c r="I436" s="7" t="n">
        <v>1.606</v>
      </c>
      <c r="J436" s="6" t="n">
        <v>0.995714285714286</v>
      </c>
    </row>
    <row r="437" customFormat="false" ht="15" hidden="false" customHeight="false" outlineLevel="0" collapsed="false">
      <c r="A437" s="0" t="s">
        <v>141</v>
      </c>
      <c r="B437" s="0" t="s">
        <v>228</v>
      </c>
      <c r="C437" s="0" t="s">
        <v>184</v>
      </c>
      <c r="D437" s="0" t="n">
        <v>2100</v>
      </c>
      <c r="E437" s="6" t="n">
        <v>0.99952380952381</v>
      </c>
      <c r="F437" s="6" t="n">
        <v>0.997307427200723</v>
      </c>
      <c r="G437" s="6" t="n">
        <v>0.999915937904331</v>
      </c>
      <c r="H437" s="7" t="n">
        <v>0.481</v>
      </c>
      <c r="I437" s="7" t="n">
        <v>1.189</v>
      </c>
      <c r="J437" s="6" t="n">
        <v>0.997617913292044</v>
      </c>
    </row>
    <row r="438" customFormat="false" ht="15" hidden="false" customHeight="false" outlineLevel="0" collapsed="false">
      <c r="A438" s="0" t="s">
        <v>141</v>
      </c>
      <c r="B438" s="0" t="s">
        <v>229</v>
      </c>
      <c r="C438" s="0" t="s">
        <v>181</v>
      </c>
      <c r="D438" s="0" t="n">
        <v>700</v>
      </c>
      <c r="E438" s="6" t="n">
        <v>1</v>
      </c>
      <c r="F438" s="6" t="n">
        <v>0.994541953757777</v>
      </c>
      <c r="G438" s="6" t="n">
        <v>1</v>
      </c>
      <c r="H438" s="7" t="n">
        <v>0.34</v>
      </c>
      <c r="I438" s="7" t="n">
        <v>0.59</v>
      </c>
      <c r="J438" s="6" t="n">
        <v>1</v>
      </c>
    </row>
    <row r="439" customFormat="false" ht="15" hidden="false" customHeight="false" outlineLevel="0" collapsed="false">
      <c r="A439" s="0" t="s">
        <v>141</v>
      </c>
      <c r="B439" s="0" t="s">
        <v>229</v>
      </c>
      <c r="C439" s="0" t="s">
        <v>182</v>
      </c>
      <c r="D439" s="0" t="n">
        <v>700</v>
      </c>
      <c r="E439" s="6" t="n">
        <v>0.998571428571429</v>
      </c>
      <c r="F439" s="6" t="n">
        <v>0.991952621292185</v>
      </c>
      <c r="G439" s="6" t="n">
        <v>0.999747784026285</v>
      </c>
      <c r="H439" s="7" t="n">
        <v>0.201</v>
      </c>
      <c r="I439" s="7" t="n">
        <v>0.578</v>
      </c>
      <c r="J439" s="6" t="n">
        <v>0.998569384835479</v>
      </c>
    </row>
    <row r="440" customFormat="false" ht="15" hidden="false" customHeight="false" outlineLevel="0" collapsed="false">
      <c r="A440" s="0" t="s">
        <v>141</v>
      </c>
      <c r="B440" s="0" t="s">
        <v>229</v>
      </c>
      <c r="C440" s="0" t="s">
        <v>183</v>
      </c>
      <c r="D440" s="0" t="n">
        <v>700</v>
      </c>
      <c r="E440" s="6" t="n">
        <v>1</v>
      </c>
      <c r="F440" s="6" t="n">
        <v>0.994541953757777</v>
      </c>
      <c r="G440" s="6" t="n">
        <v>1</v>
      </c>
      <c r="H440" s="7" t="n">
        <v>0.8</v>
      </c>
      <c r="I440" s="7" t="n">
        <v>1.02</v>
      </c>
      <c r="J440" s="6" t="n">
        <v>1</v>
      </c>
    </row>
    <row r="441" customFormat="false" ht="15" hidden="false" customHeight="false" outlineLevel="0" collapsed="false">
      <c r="A441" s="0" t="s">
        <v>141</v>
      </c>
      <c r="B441" s="0" t="s">
        <v>229</v>
      </c>
      <c r="C441" s="0" t="s">
        <v>184</v>
      </c>
      <c r="D441" s="0" t="n">
        <v>2100</v>
      </c>
      <c r="E441" s="6" t="n">
        <v>0.99952380952381</v>
      </c>
      <c r="F441" s="6" t="n">
        <v>0.997307427200723</v>
      </c>
      <c r="G441" s="6" t="n">
        <v>0.999915937904331</v>
      </c>
      <c r="H441" s="7" t="n">
        <v>0.376</v>
      </c>
      <c r="I441" s="7" t="n">
        <v>0.876</v>
      </c>
      <c r="J441" s="6" t="n">
        <v>0.999523582658409</v>
      </c>
    </row>
    <row r="442" customFormat="false" ht="15" hidden="false" customHeight="false" outlineLevel="0" collapsed="false">
      <c r="A442" s="0" t="s">
        <v>141</v>
      </c>
      <c r="B442" s="0" t="s">
        <v>230</v>
      </c>
      <c r="C442" s="0" t="s">
        <v>181</v>
      </c>
      <c r="D442" s="0" t="n">
        <v>700</v>
      </c>
      <c r="E442" s="6" t="n">
        <v>1</v>
      </c>
      <c r="F442" s="6" t="n">
        <v>0.994541953757777</v>
      </c>
      <c r="G442" s="6" t="n">
        <v>1</v>
      </c>
      <c r="H442" s="7" t="n">
        <v>0.3565</v>
      </c>
      <c r="I442" s="7" t="n">
        <v>0.541</v>
      </c>
      <c r="J442" s="6" t="n">
        <v>0.998571428571429</v>
      </c>
    </row>
    <row r="443" customFormat="false" ht="15" hidden="false" customHeight="false" outlineLevel="0" collapsed="false">
      <c r="A443" s="0" t="s">
        <v>141</v>
      </c>
      <c r="B443" s="0" t="s">
        <v>230</v>
      </c>
      <c r="C443" s="0" t="s">
        <v>182</v>
      </c>
      <c r="D443" s="0" t="n">
        <v>700</v>
      </c>
      <c r="E443" s="6" t="n">
        <v>0.998571428571429</v>
      </c>
      <c r="F443" s="6" t="n">
        <v>0.991952621292185</v>
      </c>
      <c r="G443" s="6" t="n">
        <v>0.999747784026285</v>
      </c>
      <c r="H443" s="7" t="n">
        <v>0.212</v>
      </c>
      <c r="I443" s="7" t="n">
        <v>0.427</v>
      </c>
      <c r="J443" s="6" t="n">
        <v>1</v>
      </c>
    </row>
    <row r="444" customFormat="false" ht="15" hidden="false" customHeight="false" outlineLevel="0" collapsed="false">
      <c r="A444" s="0" t="s">
        <v>141</v>
      </c>
      <c r="B444" s="0" t="s">
        <v>230</v>
      </c>
      <c r="C444" s="0" t="s">
        <v>183</v>
      </c>
      <c r="D444" s="0" t="n">
        <v>700</v>
      </c>
      <c r="E444" s="6" t="n">
        <v>0.998571428571429</v>
      </c>
      <c r="F444" s="6" t="n">
        <v>0.991952621292185</v>
      </c>
      <c r="G444" s="6" t="n">
        <v>0.999747784026285</v>
      </c>
      <c r="H444" s="7" t="n">
        <v>0.814</v>
      </c>
      <c r="I444" s="7" t="n">
        <v>0.972</v>
      </c>
      <c r="J444" s="6" t="n">
        <v>1</v>
      </c>
    </row>
    <row r="445" customFormat="false" ht="15" hidden="false" customHeight="false" outlineLevel="0" collapsed="false">
      <c r="A445" s="0" t="s">
        <v>141</v>
      </c>
      <c r="B445" s="0" t="s">
        <v>230</v>
      </c>
      <c r="C445" s="0" t="s">
        <v>184</v>
      </c>
      <c r="D445" s="0" t="n">
        <v>2100</v>
      </c>
      <c r="E445" s="6" t="n">
        <v>0.999047619047619</v>
      </c>
      <c r="F445" s="6" t="n">
        <v>0.996533933798472</v>
      </c>
      <c r="G445" s="6" t="n">
        <v>0.999738789395138</v>
      </c>
      <c r="H445" s="7" t="n">
        <v>0.375</v>
      </c>
      <c r="I445" s="7" t="n">
        <v>0.871</v>
      </c>
      <c r="J445" s="6" t="n">
        <v>0.99952335557674</v>
      </c>
    </row>
    <row r="446" customFormat="false" ht="15" hidden="false" customHeight="false" outlineLevel="0" collapsed="false">
      <c r="A446" s="0" t="s">
        <v>141</v>
      </c>
      <c r="B446" s="0" t="s">
        <v>231</v>
      </c>
      <c r="C446" s="0" t="s">
        <v>181</v>
      </c>
      <c r="D446" s="0" t="n">
        <v>700</v>
      </c>
      <c r="E446" s="6" t="n">
        <v>1</v>
      </c>
      <c r="F446" s="6" t="n">
        <v>0.994541953757777</v>
      </c>
      <c r="G446" s="6" t="n">
        <v>1</v>
      </c>
      <c r="H446" s="7" t="n">
        <v>0.326</v>
      </c>
      <c r="I446" s="7" t="n">
        <v>0.525</v>
      </c>
      <c r="J446" s="6" t="n">
        <v>0.988571428571429</v>
      </c>
    </row>
    <row r="447" customFormat="false" ht="15" hidden="false" customHeight="false" outlineLevel="0" collapsed="false">
      <c r="A447" s="0" t="s">
        <v>141</v>
      </c>
      <c r="B447" s="0" t="s">
        <v>231</v>
      </c>
      <c r="C447" s="0" t="s">
        <v>182</v>
      </c>
      <c r="D447" s="0" t="n">
        <v>700</v>
      </c>
      <c r="E447" s="6" t="n">
        <v>0.997142857142857</v>
      </c>
      <c r="F447" s="6" t="n">
        <v>0.989642722089369</v>
      </c>
      <c r="G447" s="6" t="n">
        <v>0.999216134789793</v>
      </c>
      <c r="H447" s="7" t="n">
        <v>0.1795</v>
      </c>
      <c r="I447" s="7" t="n">
        <v>0.365</v>
      </c>
      <c r="J447" s="6" t="n">
        <v>0.989971346704871</v>
      </c>
    </row>
    <row r="448" customFormat="false" ht="15" hidden="false" customHeight="false" outlineLevel="0" collapsed="false">
      <c r="A448" s="0" t="s">
        <v>141</v>
      </c>
      <c r="B448" s="0" t="s">
        <v>231</v>
      </c>
      <c r="C448" s="0" t="s">
        <v>183</v>
      </c>
      <c r="D448" s="0" t="n">
        <v>700</v>
      </c>
      <c r="E448" s="6" t="n">
        <v>0.998571428571429</v>
      </c>
      <c r="F448" s="6" t="n">
        <v>0.991952621292185</v>
      </c>
      <c r="G448" s="6" t="n">
        <v>0.999747784026285</v>
      </c>
      <c r="H448" s="7" t="n">
        <v>0.789</v>
      </c>
      <c r="I448" s="7" t="n">
        <v>0.917</v>
      </c>
      <c r="J448" s="6" t="n">
        <v>0.988555078683834</v>
      </c>
    </row>
    <row r="449" customFormat="false" ht="15" hidden="false" customHeight="false" outlineLevel="0" collapsed="false">
      <c r="A449" s="0" t="s">
        <v>141</v>
      </c>
      <c r="B449" s="0" t="s">
        <v>231</v>
      </c>
      <c r="C449" s="0" t="s">
        <v>184</v>
      </c>
      <c r="D449" s="0" t="n">
        <v>2100</v>
      </c>
      <c r="E449" s="6" t="n">
        <v>0.998571428571429</v>
      </c>
      <c r="F449" s="6" t="n">
        <v>0.995808031986912</v>
      </c>
      <c r="G449" s="6" t="n">
        <v>0.999514049295253</v>
      </c>
      <c r="H449" s="7" t="n">
        <v>0.341</v>
      </c>
      <c r="I449" s="7" t="n">
        <v>0.838</v>
      </c>
      <c r="J449" s="6" t="n">
        <v>0.989031950405341</v>
      </c>
    </row>
    <row r="450" customFormat="false" ht="15" hidden="false" customHeight="false" outlineLevel="0" collapsed="false">
      <c r="A450" s="0" t="s">
        <v>141</v>
      </c>
      <c r="B450" s="0" t="s">
        <v>232</v>
      </c>
      <c r="C450" s="0" t="s">
        <v>181</v>
      </c>
      <c r="D450" s="0" t="n">
        <v>700</v>
      </c>
      <c r="E450" s="6" t="n">
        <v>1</v>
      </c>
      <c r="F450" s="6" t="n">
        <v>0.994541953757777</v>
      </c>
      <c r="G450" s="6" t="n">
        <v>1</v>
      </c>
      <c r="H450" s="7" t="n">
        <v>0.376</v>
      </c>
      <c r="I450" s="7" t="n">
        <v>0.556</v>
      </c>
      <c r="J450" s="6" t="n">
        <v>1</v>
      </c>
    </row>
    <row r="451" customFormat="false" ht="15" hidden="false" customHeight="false" outlineLevel="0" collapsed="false">
      <c r="A451" s="0" t="s">
        <v>141</v>
      </c>
      <c r="B451" s="0" t="s">
        <v>232</v>
      </c>
      <c r="C451" s="0" t="s">
        <v>182</v>
      </c>
      <c r="D451" s="0" t="n">
        <v>700</v>
      </c>
      <c r="E451" s="6" t="n">
        <v>0.998571428571429</v>
      </c>
      <c r="F451" s="6" t="n">
        <v>0.991952621292185</v>
      </c>
      <c r="G451" s="6" t="n">
        <v>0.999747784026285</v>
      </c>
      <c r="H451" s="7" t="n">
        <v>0.227</v>
      </c>
      <c r="I451" s="7" t="n">
        <v>0.346</v>
      </c>
      <c r="J451" s="6" t="n">
        <v>1</v>
      </c>
    </row>
    <row r="452" customFormat="false" ht="15" hidden="false" customHeight="false" outlineLevel="0" collapsed="false">
      <c r="A452" s="0" t="s">
        <v>141</v>
      </c>
      <c r="B452" s="0" t="s">
        <v>232</v>
      </c>
      <c r="C452" s="0" t="s">
        <v>183</v>
      </c>
      <c r="D452" s="0" t="n">
        <v>700</v>
      </c>
      <c r="E452" s="6" t="n">
        <v>1</v>
      </c>
      <c r="F452" s="6" t="n">
        <v>0.994541953757777</v>
      </c>
      <c r="G452" s="6" t="n">
        <v>1</v>
      </c>
      <c r="H452" s="7" t="n">
        <v>0.837</v>
      </c>
      <c r="I452" s="7" t="n">
        <v>0.971</v>
      </c>
      <c r="J452" s="6" t="n">
        <v>1</v>
      </c>
    </row>
    <row r="453" customFormat="false" ht="15" hidden="false" customHeight="false" outlineLevel="0" collapsed="false">
      <c r="A453" s="0" t="s">
        <v>141</v>
      </c>
      <c r="B453" s="0" t="s">
        <v>232</v>
      </c>
      <c r="C453" s="0" t="s">
        <v>184</v>
      </c>
      <c r="D453" s="0" t="n">
        <v>2100</v>
      </c>
      <c r="E453" s="6" t="n">
        <v>0.99952380952381</v>
      </c>
      <c r="F453" s="6" t="n">
        <v>0.997307427200723</v>
      </c>
      <c r="G453" s="6" t="n">
        <v>0.999915937904331</v>
      </c>
      <c r="H453" s="7" t="n">
        <v>0.385</v>
      </c>
      <c r="I453" s="7" t="n">
        <v>0.88</v>
      </c>
      <c r="J453" s="6" t="n">
        <v>1</v>
      </c>
    </row>
    <row r="454" customFormat="false" ht="15" hidden="false" customHeight="false" outlineLevel="0" collapsed="false">
      <c r="A454" s="0" t="s">
        <v>141</v>
      </c>
      <c r="B454" s="0" t="s">
        <v>233</v>
      </c>
      <c r="C454" s="0" t="s">
        <v>181</v>
      </c>
      <c r="D454" s="0" t="n">
        <v>700</v>
      </c>
      <c r="E454" s="6" t="n">
        <v>0.997142857142857</v>
      </c>
      <c r="F454" s="6" t="n">
        <v>0.989642722089369</v>
      </c>
      <c r="G454" s="6" t="n">
        <v>0.999216134789793</v>
      </c>
      <c r="H454" s="7" t="n">
        <v>0.386</v>
      </c>
      <c r="I454" s="7" t="n">
        <v>0.766</v>
      </c>
      <c r="J454" s="6" t="n">
        <v>0.998567335243553</v>
      </c>
    </row>
    <row r="455" customFormat="false" ht="15" hidden="false" customHeight="false" outlineLevel="0" collapsed="false">
      <c r="A455" s="0" t="s">
        <v>141</v>
      </c>
      <c r="B455" s="0" t="s">
        <v>233</v>
      </c>
      <c r="C455" s="0" t="s">
        <v>182</v>
      </c>
      <c r="D455" s="0" t="n">
        <v>700</v>
      </c>
      <c r="E455" s="6" t="n">
        <v>0.998571428571429</v>
      </c>
      <c r="F455" s="6" t="n">
        <v>0.991952621292185</v>
      </c>
      <c r="G455" s="6" t="n">
        <v>0.999747784026285</v>
      </c>
      <c r="H455" s="7" t="n">
        <v>0.661</v>
      </c>
      <c r="I455" s="7" t="n">
        <v>1.359</v>
      </c>
      <c r="J455" s="6" t="n">
        <v>1</v>
      </c>
    </row>
    <row r="456" customFormat="false" ht="15" hidden="false" customHeight="false" outlineLevel="0" collapsed="false">
      <c r="A456" s="0" t="s">
        <v>141</v>
      </c>
      <c r="B456" s="0" t="s">
        <v>233</v>
      </c>
      <c r="C456" s="0" t="s">
        <v>183</v>
      </c>
      <c r="D456" s="0" t="n">
        <v>700</v>
      </c>
      <c r="E456" s="6" t="n">
        <v>0.998571428571429</v>
      </c>
      <c r="F456" s="6" t="n">
        <v>0.991952621292185</v>
      </c>
      <c r="G456" s="6" t="n">
        <v>0.999747784026285</v>
      </c>
      <c r="H456" s="7" t="n">
        <v>1.254</v>
      </c>
      <c r="I456" s="7" t="n">
        <v>1.71</v>
      </c>
      <c r="J456" s="6" t="n">
        <v>1</v>
      </c>
    </row>
    <row r="457" customFormat="false" ht="15" hidden="false" customHeight="false" outlineLevel="0" collapsed="false">
      <c r="A457" s="0" t="s">
        <v>141</v>
      </c>
      <c r="B457" s="0" t="s">
        <v>233</v>
      </c>
      <c r="C457" s="0" t="s">
        <v>184</v>
      </c>
      <c r="D457" s="0" t="n">
        <v>2100</v>
      </c>
      <c r="E457" s="6" t="n">
        <v>0.998095238095238</v>
      </c>
      <c r="F457" s="6" t="n">
        <v>0.995112393687503</v>
      </c>
      <c r="G457" s="6" t="n">
        <v>0.999259045683217</v>
      </c>
      <c r="H457" s="7" t="n">
        <v>0.728</v>
      </c>
      <c r="I457" s="7" t="n">
        <v>1.437</v>
      </c>
      <c r="J457" s="6" t="n">
        <v>0.999522900763359</v>
      </c>
    </row>
    <row r="458" customFormat="false" ht="15" hidden="false" customHeight="false" outlineLevel="0" collapsed="false">
      <c r="A458" s="0" t="s">
        <v>141</v>
      </c>
      <c r="B458" s="0" t="s">
        <v>234</v>
      </c>
      <c r="C458" s="0" t="s">
        <v>181</v>
      </c>
      <c r="D458" s="0" t="n">
        <v>700</v>
      </c>
      <c r="E458" s="6" t="n">
        <v>0.994285714285714</v>
      </c>
      <c r="F458" s="6" t="n">
        <v>0.985400075576777</v>
      </c>
      <c r="G458" s="6" t="n">
        <v>0.997775684423769</v>
      </c>
      <c r="H458" s="7" t="n">
        <v>0.682</v>
      </c>
      <c r="I458" s="7" t="n">
        <v>1.108</v>
      </c>
      <c r="J458" s="6" t="n">
        <v>1</v>
      </c>
    </row>
    <row r="459" customFormat="false" ht="15" hidden="false" customHeight="false" outlineLevel="0" collapsed="false">
      <c r="A459" s="0" t="s">
        <v>141</v>
      </c>
      <c r="B459" s="0" t="s">
        <v>234</v>
      </c>
      <c r="C459" s="0" t="s">
        <v>182</v>
      </c>
      <c r="D459" s="0" t="n">
        <v>700</v>
      </c>
      <c r="E459" s="6" t="n">
        <v>0.997142857142857</v>
      </c>
      <c r="F459" s="6" t="n">
        <v>0.989642722089369</v>
      </c>
      <c r="G459" s="6" t="n">
        <v>0.999216134789793</v>
      </c>
      <c r="H459" s="7" t="n">
        <v>0.829</v>
      </c>
      <c r="I459" s="7" t="n">
        <v>1.368</v>
      </c>
      <c r="J459" s="6" t="n">
        <v>1</v>
      </c>
    </row>
    <row r="460" customFormat="false" ht="15" hidden="false" customHeight="false" outlineLevel="0" collapsed="false">
      <c r="A460" s="0" t="s">
        <v>141</v>
      </c>
      <c r="B460" s="0" t="s">
        <v>234</v>
      </c>
      <c r="C460" s="0" t="s">
        <v>183</v>
      </c>
      <c r="D460" s="0" t="n">
        <v>700</v>
      </c>
      <c r="E460" s="6" t="n">
        <v>0.998571428571429</v>
      </c>
      <c r="F460" s="6" t="n">
        <v>0.991952621292185</v>
      </c>
      <c r="G460" s="6" t="n">
        <v>0.999747784026285</v>
      </c>
      <c r="H460" s="7" t="n">
        <v>1.436</v>
      </c>
      <c r="I460" s="7" t="n">
        <v>1.991</v>
      </c>
      <c r="J460" s="6" t="n">
        <v>0.998569384835479</v>
      </c>
    </row>
    <row r="461" customFormat="false" ht="15" hidden="false" customHeight="false" outlineLevel="0" collapsed="false">
      <c r="A461" s="0" t="s">
        <v>141</v>
      </c>
      <c r="B461" s="0" t="s">
        <v>234</v>
      </c>
      <c r="C461" s="0" t="s">
        <v>184</v>
      </c>
      <c r="D461" s="0" t="n">
        <v>2100</v>
      </c>
      <c r="E461" s="6" t="n">
        <v>0.996666666666667</v>
      </c>
      <c r="F461" s="6" t="n">
        <v>0.993135096851519</v>
      </c>
      <c r="G461" s="6" t="n">
        <v>0.99838441678487</v>
      </c>
      <c r="H461" s="7" t="n">
        <v>0.925</v>
      </c>
      <c r="I461" s="7" t="n">
        <v>1.663</v>
      </c>
      <c r="J461" s="6" t="n">
        <v>0.999522216913521</v>
      </c>
    </row>
    <row r="462" customFormat="false" ht="15" hidden="false" customHeight="false" outlineLevel="0" collapsed="false">
      <c r="A462" s="0" t="s">
        <v>141</v>
      </c>
      <c r="B462" s="0" t="s">
        <v>235</v>
      </c>
      <c r="C462" s="0" t="s">
        <v>181</v>
      </c>
      <c r="D462" s="0" t="n">
        <v>700</v>
      </c>
      <c r="E462" s="6" t="n">
        <v>0.998571428571429</v>
      </c>
      <c r="F462" s="6" t="n">
        <v>0.991952621292185</v>
      </c>
      <c r="G462" s="6" t="n">
        <v>0.999747784026285</v>
      </c>
      <c r="H462" s="7" t="n">
        <v>0.385</v>
      </c>
      <c r="I462" s="7" t="n">
        <v>0.65</v>
      </c>
      <c r="J462" s="6" t="n">
        <v>1</v>
      </c>
    </row>
    <row r="463" customFormat="false" ht="15" hidden="false" customHeight="false" outlineLevel="0" collapsed="false">
      <c r="A463" s="0" t="s">
        <v>141</v>
      </c>
      <c r="B463" s="0" t="s">
        <v>235</v>
      </c>
      <c r="C463" s="0" t="s">
        <v>182</v>
      </c>
      <c r="D463" s="0" t="n">
        <v>700</v>
      </c>
      <c r="E463" s="6" t="n">
        <v>0.998571428571429</v>
      </c>
      <c r="F463" s="6" t="n">
        <v>0.991952621292185</v>
      </c>
      <c r="G463" s="6" t="n">
        <v>0.999747784026285</v>
      </c>
      <c r="H463" s="7" t="n">
        <v>0.245</v>
      </c>
      <c r="I463" s="7" t="n">
        <v>0.524</v>
      </c>
      <c r="J463" s="6" t="n">
        <v>0.998569384835479</v>
      </c>
    </row>
    <row r="464" customFormat="false" ht="15" hidden="false" customHeight="false" outlineLevel="0" collapsed="false">
      <c r="A464" s="0" t="s">
        <v>141</v>
      </c>
      <c r="B464" s="0" t="s">
        <v>235</v>
      </c>
      <c r="C464" s="0" t="s">
        <v>183</v>
      </c>
      <c r="D464" s="0" t="n">
        <v>700</v>
      </c>
      <c r="E464" s="6" t="n">
        <v>0.998571428571429</v>
      </c>
      <c r="F464" s="6" t="n">
        <v>0.991952621292185</v>
      </c>
      <c r="G464" s="6" t="n">
        <v>0.999747784026285</v>
      </c>
      <c r="H464" s="7" t="n">
        <v>0.848</v>
      </c>
      <c r="I464" s="7" t="n">
        <v>1.175</v>
      </c>
      <c r="J464" s="6" t="n">
        <v>1</v>
      </c>
    </row>
    <row r="465" customFormat="false" ht="15" hidden="false" customHeight="false" outlineLevel="0" collapsed="false">
      <c r="A465" s="0" t="s">
        <v>141</v>
      </c>
      <c r="B465" s="0" t="s">
        <v>235</v>
      </c>
      <c r="C465" s="0" t="s">
        <v>184</v>
      </c>
      <c r="D465" s="0" t="n">
        <v>2100</v>
      </c>
      <c r="E465" s="6" t="n">
        <v>0.998571428571429</v>
      </c>
      <c r="F465" s="6" t="n">
        <v>0.995808031986912</v>
      </c>
      <c r="G465" s="6" t="n">
        <v>0.999514049295253</v>
      </c>
      <c r="H465" s="7" t="n">
        <v>0.429</v>
      </c>
      <c r="I465" s="7" t="n">
        <v>0.974</v>
      </c>
      <c r="J465" s="6" t="n">
        <v>0.999523128278493</v>
      </c>
    </row>
    <row r="466" customFormat="false" ht="15" hidden="false" customHeight="false" outlineLevel="0" collapsed="false">
      <c r="A466" s="0" t="s">
        <v>141</v>
      </c>
      <c r="B466" s="0" t="s">
        <v>236</v>
      </c>
      <c r="C466" s="0" t="s">
        <v>181</v>
      </c>
      <c r="D466" s="0" t="n">
        <v>700</v>
      </c>
      <c r="E466" s="6" t="n">
        <v>0.998571428571429</v>
      </c>
      <c r="F466" s="6" t="n">
        <v>0.991952621292185</v>
      </c>
      <c r="G466" s="6" t="n">
        <v>0.999747784026285</v>
      </c>
      <c r="H466" s="7" t="n">
        <v>0.422</v>
      </c>
      <c r="I466" s="7" t="n">
        <v>0.72</v>
      </c>
      <c r="J466" s="6" t="n">
        <v>0.992846924177396</v>
      </c>
    </row>
    <row r="467" customFormat="false" ht="15" hidden="false" customHeight="false" outlineLevel="0" collapsed="false">
      <c r="A467" s="0" t="s">
        <v>141</v>
      </c>
      <c r="B467" s="0" t="s">
        <v>236</v>
      </c>
      <c r="C467" s="0" t="s">
        <v>182</v>
      </c>
      <c r="D467" s="0" t="n">
        <v>700</v>
      </c>
      <c r="E467" s="6" t="n">
        <v>0.998571428571429</v>
      </c>
      <c r="F467" s="6" t="n">
        <v>0.991952621292185</v>
      </c>
      <c r="G467" s="6" t="n">
        <v>0.999747784026285</v>
      </c>
      <c r="H467" s="7" t="n">
        <v>0.264</v>
      </c>
      <c r="I467" s="7" t="n">
        <v>0.454</v>
      </c>
      <c r="J467" s="6" t="n">
        <v>0.991416309012876</v>
      </c>
    </row>
    <row r="468" customFormat="false" ht="15" hidden="false" customHeight="false" outlineLevel="0" collapsed="false">
      <c r="A468" s="0" t="s">
        <v>141</v>
      </c>
      <c r="B468" s="0" t="s">
        <v>236</v>
      </c>
      <c r="C468" s="0" t="s">
        <v>183</v>
      </c>
      <c r="D468" s="0" t="n">
        <v>700</v>
      </c>
      <c r="E468" s="6" t="n">
        <v>0.997142857142857</v>
      </c>
      <c r="F468" s="6" t="n">
        <v>0.989642722089369</v>
      </c>
      <c r="G468" s="6" t="n">
        <v>0.999216134789793</v>
      </c>
      <c r="H468" s="7" t="n">
        <v>0.857</v>
      </c>
      <c r="I468" s="7" t="n">
        <v>1.008</v>
      </c>
      <c r="J468" s="6" t="n">
        <v>0.984240687679083</v>
      </c>
    </row>
    <row r="469" customFormat="false" ht="15" hidden="false" customHeight="false" outlineLevel="0" collapsed="false">
      <c r="A469" s="0" t="s">
        <v>141</v>
      </c>
      <c r="B469" s="0" t="s">
        <v>236</v>
      </c>
      <c r="C469" s="0" t="s">
        <v>184</v>
      </c>
      <c r="D469" s="0" t="n">
        <v>2100</v>
      </c>
      <c r="E469" s="6" t="n">
        <v>0.998095238095238</v>
      </c>
      <c r="F469" s="6" t="n">
        <v>0.995112393687503</v>
      </c>
      <c r="G469" s="6" t="n">
        <v>0.999259045683217</v>
      </c>
      <c r="H469" s="7" t="n">
        <v>0.442</v>
      </c>
      <c r="I469" s="7" t="n">
        <v>0.923</v>
      </c>
      <c r="J469" s="6" t="n">
        <v>0.989503816793893</v>
      </c>
    </row>
    <row r="470" customFormat="false" ht="15" hidden="false" customHeight="false" outlineLevel="0" collapsed="false">
      <c r="A470" s="0" t="s">
        <v>141</v>
      </c>
      <c r="B470" s="0" t="s">
        <v>237</v>
      </c>
      <c r="C470" s="0" t="s">
        <v>181</v>
      </c>
      <c r="D470" s="0" t="n">
        <v>700</v>
      </c>
      <c r="E470" s="6" t="n">
        <v>1</v>
      </c>
      <c r="F470" s="6" t="n">
        <v>0.994541953757777</v>
      </c>
      <c r="G470" s="6" t="n">
        <v>1</v>
      </c>
      <c r="H470" s="7" t="n">
        <v>0.443</v>
      </c>
      <c r="I470" s="7" t="n">
        <v>0.861</v>
      </c>
      <c r="J470" s="6" t="n">
        <v>0.978571428571429</v>
      </c>
    </row>
    <row r="471" customFormat="false" ht="15" hidden="false" customHeight="false" outlineLevel="0" collapsed="false">
      <c r="A471" s="0" t="s">
        <v>141</v>
      </c>
      <c r="B471" s="0" t="s">
        <v>237</v>
      </c>
      <c r="C471" s="0" t="s">
        <v>182</v>
      </c>
      <c r="D471" s="0" t="n">
        <v>700</v>
      </c>
      <c r="E471" s="6" t="n">
        <v>1</v>
      </c>
      <c r="F471" s="6" t="n">
        <v>0.994541953757777</v>
      </c>
      <c r="G471" s="6" t="n">
        <v>1</v>
      </c>
      <c r="H471" s="7" t="n">
        <v>0.3595</v>
      </c>
      <c r="I471" s="7" t="n">
        <v>0.95</v>
      </c>
      <c r="J471" s="6" t="n">
        <v>0.972857142857143</v>
      </c>
    </row>
    <row r="472" customFormat="false" ht="15" hidden="false" customHeight="false" outlineLevel="0" collapsed="false">
      <c r="A472" s="0" t="s">
        <v>141</v>
      </c>
      <c r="B472" s="0" t="s">
        <v>237</v>
      </c>
      <c r="C472" s="0" t="s">
        <v>183</v>
      </c>
      <c r="D472" s="0" t="n">
        <v>700</v>
      </c>
      <c r="E472" s="6" t="n">
        <v>0.998571428571429</v>
      </c>
      <c r="F472" s="6" t="n">
        <v>0.991952621292185</v>
      </c>
      <c r="G472" s="6" t="n">
        <v>0.999747784026285</v>
      </c>
      <c r="H472" s="7" t="n">
        <v>0.941</v>
      </c>
      <c r="I472" s="7" t="n">
        <v>1.576</v>
      </c>
      <c r="J472" s="6" t="n">
        <v>0.984263233190272</v>
      </c>
    </row>
    <row r="473" customFormat="false" ht="15" hidden="false" customHeight="false" outlineLevel="0" collapsed="false">
      <c r="A473" s="0" t="s">
        <v>141</v>
      </c>
      <c r="B473" s="0" t="s">
        <v>237</v>
      </c>
      <c r="C473" s="0" t="s">
        <v>184</v>
      </c>
      <c r="D473" s="0" t="n">
        <v>2100</v>
      </c>
      <c r="E473" s="6" t="n">
        <v>0.99952380952381</v>
      </c>
      <c r="F473" s="6" t="n">
        <v>0.997307427200723</v>
      </c>
      <c r="G473" s="6" t="n">
        <v>0.999915937904331</v>
      </c>
      <c r="H473" s="7" t="n">
        <v>0.585</v>
      </c>
      <c r="I473" s="7" t="n">
        <v>1.263</v>
      </c>
      <c r="J473" s="6" t="n">
        <v>0.978561219628395</v>
      </c>
    </row>
    <row r="474" customFormat="false" ht="15" hidden="false" customHeight="false" outlineLevel="0" collapsed="false">
      <c r="A474" s="0" t="s">
        <v>141</v>
      </c>
      <c r="B474" s="0" t="s">
        <v>238</v>
      </c>
      <c r="C474" s="0" t="s">
        <v>181</v>
      </c>
      <c r="D474" s="0" t="n">
        <v>700</v>
      </c>
      <c r="E474" s="6" t="n">
        <v>0.994285714285714</v>
      </c>
      <c r="F474" s="6" t="n">
        <v>0.985400075576777</v>
      </c>
      <c r="G474" s="6" t="n">
        <v>0.997775684423769</v>
      </c>
      <c r="H474" s="7" t="n">
        <v>0.6805</v>
      </c>
      <c r="I474" s="7" t="n">
        <v>0.919</v>
      </c>
      <c r="J474" s="6" t="n">
        <v>1</v>
      </c>
    </row>
    <row r="475" customFormat="false" ht="15" hidden="false" customHeight="false" outlineLevel="0" collapsed="false">
      <c r="A475" s="0" t="s">
        <v>141</v>
      </c>
      <c r="B475" s="0" t="s">
        <v>238</v>
      </c>
      <c r="C475" s="0" t="s">
        <v>182</v>
      </c>
      <c r="D475" s="0" t="n">
        <v>700</v>
      </c>
      <c r="E475" s="6" t="n">
        <v>0.997142857142857</v>
      </c>
      <c r="F475" s="6" t="n">
        <v>0.989642722089369</v>
      </c>
      <c r="G475" s="6" t="n">
        <v>0.999216134789793</v>
      </c>
      <c r="H475" s="7" t="n">
        <v>0.9285</v>
      </c>
      <c r="I475" s="7" t="n">
        <v>1.449</v>
      </c>
      <c r="J475" s="6" t="n">
        <v>1</v>
      </c>
    </row>
    <row r="476" customFormat="false" ht="15" hidden="false" customHeight="false" outlineLevel="0" collapsed="false">
      <c r="A476" s="0" t="s">
        <v>141</v>
      </c>
      <c r="B476" s="0" t="s">
        <v>238</v>
      </c>
      <c r="C476" s="0" t="s">
        <v>183</v>
      </c>
      <c r="D476" s="0" t="n">
        <v>700</v>
      </c>
      <c r="E476" s="6" t="n">
        <v>0.997142857142857</v>
      </c>
      <c r="F476" s="6" t="n">
        <v>0.989642722089369</v>
      </c>
      <c r="G476" s="6" t="n">
        <v>0.999216134789793</v>
      </c>
      <c r="H476" s="7" t="n">
        <v>1.525</v>
      </c>
      <c r="I476" s="7" t="n">
        <v>1.95</v>
      </c>
      <c r="J476" s="6" t="n">
        <v>1</v>
      </c>
    </row>
    <row r="477" customFormat="false" ht="15" hidden="false" customHeight="false" outlineLevel="0" collapsed="false">
      <c r="A477" s="0" t="s">
        <v>141</v>
      </c>
      <c r="B477" s="0" t="s">
        <v>238</v>
      </c>
      <c r="C477" s="0" t="s">
        <v>184</v>
      </c>
      <c r="D477" s="0" t="n">
        <v>2100</v>
      </c>
      <c r="E477" s="6" t="n">
        <v>0.996190476190476</v>
      </c>
      <c r="F477" s="6" t="n">
        <v>0.99250045074196</v>
      </c>
      <c r="G477" s="6" t="n">
        <v>0.998068420982983</v>
      </c>
      <c r="H477" s="7" t="n">
        <v>0.9535</v>
      </c>
      <c r="I477" s="7" t="n">
        <v>1.653</v>
      </c>
      <c r="J477" s="6" t="n">
        <v>1</v>
      </c>
    </row>
    <row r="478" customFormat="false" ht="15" hidden="false" customHeight="false" outlineLevel="0" collapsed="false">
      <c r="A478" s="0" t="s">
        <v>141</v>
      </c>
      <c r="B478" s="0" t="s">
        <v>239</v>
      </c>
      <c r="C478" s="0" t="s">
        <v>181</v>
      </c>
      <c r="D478" s="0" t="n">
        <v>700</v>
      </c>
      <c r="E478" s="6" t="n">
        <v>1</v>
      </c>
      <c r="F478" s="6" t="n">
        <v>0.994541953757777</v>
      </c>
      <c r="G478" s="6" t="n">
        <v>1</v>
      </c>
      <c r="H478" s="7" t="n">
        <v>0.666</v>
      </c>
      <c r="I478" s="7" t="n">
        <v>1.337</v>
      </c>
      <c r="J478" s="6" t="n">
        <v>1</v>
      </c>
    </row>
    <row r="479" customFormat="false" ht="15" hidden="false" customHeight="false" outlineLevel="0" collapsed="false">
      <c r="A479" s="0" t="s">
        <v>141</v>
      </c>
      <c r="B479" s="0" t="s">
        <v>239</v>
      </c>
      <c r="C479" s="0" t="s">
        <v>182</v>
      </c>
      <c r="D479" s="0" t="n">
        <v>700</v>
      </c>
      <c r="E479" s="6" t="n">
        <v>0.998571428571429</v>
      </c>
      <c r="F479" s="6" t="n">
        <v>0.991952621292185</v>
      </c>
      <c r="G479" s="6" t="n">
        <v>0.999747784026285</v>
      </c>
      <c r="H479" s="7" t="n">
        <v>0.901</v>
      </c>
      <c r="I479" s="7" t="n">
        <v>1.547</v>
      </c>
      <c r="J479" s="6" t="n">
        <v>1</v>
      </c>
    </row>
    <row r="480" customFormat="false" ht="15" hidden="false" customHeight="false" outlineLevel="0" collapsed="false">
      <c r="A480" s="0" t="s">
        <v>141</v>
      </c>
      <c r="B480" s="0" t="s">
        <v>239</v>
      </c>
      <c r="C480" s="0" t="s">
        <v>183</v>
      </c>
      <c r="D480" s="0" t="n">
        <v>700</v>
      </c>
      <c r="E480" s="6" t="n">
        <v>0.998571428571429</v>
      </c>
      <c r="F480" s="6" t="n">
        <v>0.991952621292185</v>
      </c>
      <c r="G480" s="6" t="n">
        <v>0.999747784026285</v>
      </c>
      <c r="H480" s="7" t="n">
        <v>1.5</v>
      </c>
      <c r="I480" s="7" t="n">
        <v>1.957</v>
      </c>
      <c r="J480" s="6" t="n">
        <v>1</v>
      </c>
    </row>
    <row r="481" customFormat="false" ht="15" hidden="false" customHeight="false" outlineLevel="0" collapsed="false">
      <c r="A481" s="0" t="s">
        <v>141</v>
      </c>
      <c r="B481" s="0" t="s">
        <v>239</v>
      </c>
      <c r="C481" s="0" t="s">
        <v>184</v>
      </c>
      <c r="D481" s="0" t="n">
        <v>2100</v>
      </c>
      <c r="E481" s="6" t="n">
        <v>0.999047619047619</v>
      </c>
      <c r="F481" s="6" t="n">
        <v>0.996533933798472</v>
      </c>
      <c r="G481" s="6" t="n">
        <v>0.999738789395138</v>
      </c>
      <c r="H481" s="7" t="n">
        <v>1.037</v>
      </c>
      <c r="I481" s="7" t="n">
        <v>1.706</v>
      </c>
      <c r="J481" s="6" t="n">
        <v>1</v>
      </c>
    </row>
    <row r="482" customFormat="false" ht="15" hidden="false" customHeight="false" outlineLevel="0" collapsed="false">
      <c r="A482" s="0" t="s">
        <v>152</v>
      </c>
      <c r="B482" s="0" t="s">
        <v>228</v>
      </c>
      <c r="C482" s="0" t="s">
        <v>181</v>
      </c>
      <c r="D482" s="0" t="n">
        <v>700</v>
      </c>
      <c r="E482" s="6" t="n">
        <v>0.974285714285714</v>
      </c>
      <c r="F482" s="6" t="n">
        <v>0.959720313640906</v>
      </c>
      <c r="G482" s="6" t="n">
        <v>0.983673768209328</v>
      </c>
      <c r="H482" s="7" t="n">
        <v>1.0855</v>
      </c>
      <c r="I482" s="7" t="n">
        <v>1.773</v>
      </c>
      <c r="J482" s="6" t="n">
        <v>0.998533724340176</v>
      </c>
    </row>
    <row r="483" customFormat="false" ht="15" hidden="false" customHeight="false" outlineLevel="0" collapsed="false">
      <c r="A483" s="0" t="s">
        <v>152</v>
      </c>
      <c r="B483" s="0" t="s">
        <v>228</v>
      </c>
      <c r="C483" s="0" t="s">
        <v>182</v>
      </c>
      <c r="D483" s="0" t="n">
        <v>700</v>
      </c>
      <c r="E483" s="6" t="n">
        <v>0.982857142857143</v>
      </c>
      <c r="F483" s="6" t="n">
        <v>0.970276429016035</v>
      </c>
      <c r="G483" s="6" t="n">
        <v>0.990166943470048</v>
      </c>
      <c r="H483" s="7" t="n">
        <v>0.845</v>
      </c>
      <c r="I483" s="7" t="n">
        <v>2.057</v>
      </c>
      <c r="J483" s="6" t="n">
        <v>0.998546511627907</v>
      </c>
    </row>
    <row r="484" customFormat="false" ht="15" hidden="false" customHeight="false" outlineLevel="0" collapsed="false">
      <c r="A484" s="0" t="s">
        <v>152</v>
      </c>
      <c r="B484" s="0" t="s">
        <v>228</v>
      </c>
      <c r="C484" s="0" t="s">
        <v>183</v>
      </c>
      <c r="D484" s="0" t="n">
        <v>700</v>
      </c>
      <c r="E484" s="6" t="n">
        <v>0.981428571428571</v>
      </c>
      <c r="F484" s="6" t="n">
        <v>0.968486560814195</v>
      </c>
      <c r="G484" s="6" t="n">
        <v>0.98911526323258</v>
      </c>
      <c r="H484" s="7" t="n">
        <v>1.401</v>
      </c>
      <c r="I484" s="7" t="n">
        <v>2.356</v>
      </c>
      <c r="J484" s="6" t="n">
        <v>0.998544395924309</v>
      </c>
    </row>
    <row r="485" customFormat="false" ht="15" hidden="false" customHeight="false" outlineLevel="0" collapsed="false">
      <c r="A485" s="0" t="s">
        <v>152</v>
      </c>
      <c r="B485" s="0" t="s">
        <v>228</v>
      </c>
      <c r="C485" s="0" t="s">
        <v>184</v>
      </c>
      <c r="D485" s="0" t="n">
        <v>2100</v>
      </c>
      <c r="E485" s="6" t="n">
        <v>0.97952380952381</v>
      </c>
      <c r="F485" s="6" t="n">
        <v>0.972533427201056</v>
      </c>
      <c r="G485" s="6" t="n">
        <v>0.984762977623338</v>
      </c>
      <c r="H485" s="7" t="n">
        <v>1.123</v>
      </c>
      <c r="I485" s="7" t="n">
        <v>2.164</v>
      </c>
      <c r="J485" s="6" t="n">
        <v>0.998541565386485</v>
      </c>
    </row>
    <row r="486" customFormat="false" ht="15" hidden="false" customHeight="false" outlineLevel="0" collapsed="false">
      <c r="A486" s="0" t="s">
        <v>152</v>
      </c>
      <c r="B486" s="0" t="s">
        <v>229</v>
      </c>
      <c r="C486" s="0" t="s">
        <v>181</v>
      </c>
      <c r="D486" s="0" t="n">
        <v>700</v>
      </c>
      <c r="E486" s="6" t="n">
        <v>0.987142857142857</v>
      </c>
      <c r="F486" s="6" t="n">
        <v>0.97574661193468</v>
      </c>
      <c r="G486" s="6" t="n">
        <v>0.993221405869326</v>
      </c>
      <c r="H486" s="7" t="n">
        <v>0.565</v>
      </c>
      <c r="I486" s="7" t="n">
        <v>1.011</v>
      </c>
      <c r="J486" s="6" t="n">
        <v>1</v>
      </c>
    </row>
    <row r="487" customFormat="false" ht="15" hidden="false" customHeight="false" outlineLevel="0" collapsed="false">
      <c r="A487" s="0" t="s">
        <v>152</v>
      </c>
      <c r="B487" s="0" t="s">
        <v>229</v>
      </c>
      <c r="C487" s="0" t="s">
        <v>182</v>
      </c>
      <c r="D487" s="0" t="n">
        <v>700</v>
      </c>
      <c r="E487" s="6" t="n">
        <v>0.991428571428571</v>
      </c>
      <c r="F487" s="6" t="n">
        <v>0.981426723313498</v>
      </c>
      <c r="G487" s="6" t="n">
        <v>0.996065939808432</v>
      </c>
      <c r="H487" s="7" t="n">
        <v>0.2665</v>
      </c>
      <c r="I487" s="7" t="n">
        <v>2.265</v>
      </c>
      <c r="J487" s="6" t="n">
        <v>0.997118155619597</v>
      </c>
    </row>
    <row r="488" customFormat="false" ht="15" hidden="false" customHeight="false" outlineLevel="0" collapsed="false">
      <c r="A488" s="0" t="s">
        <v>152</v>
      </c>
      <c r="B488" s="0" t="s">
        <v>229</v>
      </c>
      <c r="C488" s="0" t="s">
        <v>183</v>
      </c>
      <c r="D488" s="0" t="n">
        <v>700</v>
      </c>
      <c r="E488" s="6" t="n">
        <v>0.974285714285714</v>
      </c>
      <c r="F488" s="6" t="n">
        <v>0.959720313640906</v>
      </c>
      <c r="G488" s="6" t="n">
        <v>0.983673768209328</v>
      </c>
      <c r="H488" s="7" t="n">
        <v>0.863</v>
      </c>
      <c r="I488" s="7" t="n">
        <v>2.412</v>
      </c>
      <c r="J488" s="6" t="n">
        <v>0.998533724340176</v>
      </c>
    </row>
    <row r="489" customFormat="false" ht="15" hidden="false" customHeight="false" outlineLevel="0" collapsed="false">
      <c r="A489" s="0" t="s">
        <v>152</v>
      </c>
      <c r="B489" s="0" t="s">
        <v>229</v>
      </c>
      <c r="C489" s="0" t="s">
        <v>184</v>
      </c>
      <c r="D489" s="0" t="n">
        <v>2100</v>
      </c>
      <c r="E489" s="6" t="n">
        <v>0.984285714285714</v>
      </c>
      <c r="F489" s="6" t="n">
        <v>0.978013902566159</v>
      </c>
      <c r="G489" s="6" t="n">
        <v>0.988788921372677</v>
      </c>
      <c r="H489" s="7" t="n">
        <v>0.623</v>
      </c>
      <c r="I489" s="7" t="n">
        <v>1.999</v>
      </c>
      <c r="J489" s="6" t="n">
        <v>0.998548621190131</v>
      </c>
    </row>
    <row r="490" customFormat="false" ht="15" hidden="false" customHeight="false" outlineLevel="0" collapsed="false">
      <c r="A490" s="0" t="s">
        <v>152</v>
      </c>
      <c r="B490" s="0" t="s">
        <v>230</v>
      </c>
      <c r="C490" s="0" t="s">
        <v>181</v>
      </c>
      <c r="D490" s="0" t="n">
        <v>700</v>
      </c>
      <c r="E490" s="6" t="n">
        <v>0.977142857142857</v>
      </c>
      <c r="F490" s="6" t="n">
        <v>0.963194604057165</v>
      </c>
      <c r="G490" s="6" t="n">
        <v>0.985882574671686</v>
      </c>
      <c r="H490" s="7" t="n">
        <v>0.6175</v>
      </c>
      <c r="I490" s="7" t="n">
        <v>2.47</v>
      </c>
      <c r="J490" s="6" t="n">
        <v>0.998538011695906</v>
      </c>
    </row>
    <row r="491" customFormat="false" ht="15" hidden="false" customHeight="false" outlineLevel="0" collapsed="false">
      <c r="A491" s="0" t="s">
        <v>152</v>
      </c>
      <c r="B491" s="0" t="s">
        <v>230</v>
      </c>
      <c r="C491" s="0" t="s">
        <v>182</v>
      </c>
      <c r="D491" s="0" t="n">
        <v>700</v>
      </c>
      <c r="E491" s="6" t="n">
        <v>0.992857142857143</v>
      </c>
      <c r="F491" s="6" t="n">
        <v>0.983388914848421</v>
      </c>
      <c r="G491" s="6" t="n">
        <v>0.996945296712817</v>
      </c>
      <c r="H491" s="7" t="n">
        <v>0.308</v>
      </c>
      <c r="I491" s="7" t="n">
        <v>0.748</v>
      </c>
      <c r="J491" s="6" t="n">
        <v>1</v>
      </c>
    </row>
    <row r="492" customFormat="false" ht="15" hidden="false" customHeight="false" outlineLevel="0" collapsed="false">
      <c r="A492" s="0" t="s">
        <v>152</v>
      </c>
      <c r="B492" s="0" t="s">
        <v>230</v>
      </c>
      <c r="C492" s="0" t="s">
        <v>183</v>
      </c>
      <c r="D492" s="0" t="n">
        <v>700</v>
      </c>
      <c r="E492" s="6" t="n">
        <v>0.982857142857143</v>
      </c>
      <c r="F492" s="6" t="n">
        <v>0.970276429016035</v>
      </c>
      <c r="G492" s="6" t="n">
        <v>0.990166943470048</v>
      </c>
      <c r="H492" s="7" t="n">
        <v>0.897</v>
      </c>
      <c r="I492" s="7" t="n">
        <v>1.472</v>
      </c>
      <c r="J492" s="6" t="n">
        <v>0.998546511627907</v>
      </c>
    </row>
    <row r="493" customFormat="false" ht="15" hidden="false" customHeight="false" outlineLevel="0" collapsed="false">
      <c r="A493" s="0" t="s">
        <v>152</v>
      </c>
      <c r="B493" s="0" t="s">
        <v>230</v>
      </c>
      <c r="C493" s="0" t="s">
        <v>184</v>
      </c>
      <c r="D493" s="0" t="n">
        <v>2100</v>
      </c>
      <c r="E493" s="6" t="n">
        <v>0.984285714285714</v>
      </c>
      <c r="F493" s="6" t="n">
        <v>0.978013902566159</v>
      </c>
      <c r="G493" s="6" t="n">
        <v>0.988788921372677</v>
      </c>
      <c r="H493" s="7" t="n">
        <v>0.658</v>
      </c>
      <c r="I493" s="7" t="n">
        <v>1.325</v>
      </c>
      <c r="J493" s="6" t="n">
        <v>0.999032414126754</v>
      </c>
    </row>
    <row r="494" customFormat="false" ht="15" hidden="false" customHeight="false" outlineLevel="0" collapsed="false">
      <c r="A494" s="0" t="s">
        <v>152</v>
      </c>
      <c r="B494" s="0" t="s">
        <v>231</v>
      </c>
      <c r="C494" s="0" t="s">
        <v>181</v>
      </c>
      <c r="D494" s="0" t="n">
        <v>700</v>
      </c>
      <c r="E494" s="6" t="n">
        <v>0.992857142857143</v>
      </c>
      <c r="F494" s="6" t="n">
        <v>0.983388914848421</v>
      </c>
      <c r="G494" s="6" t="n">
        <v>0.996945296712817</v>
      </c>
      <c r="H494" s="7" t="n">
        <v>0.566</v>
      </c>
      <c r="I494" s="7" t="n">
        <v>2.037</v>
      </c>
      <c r="J494" s="6" t="n">
        <v>0.989928057553957</v>
      </c>
    </row>
    <row r="495" customFormat="false" ht="15" hidden="false" customHeight="false" outlineLevel="0" collapsed="false">
      <c r="A495" s="0" t="s">
        <v>152</v>
      </c>
      <c r="B495" s="0" t="s">
        <v>231</v>
      </c>
      <c r="C495" s="0" t="s">
        <v>182</v>
      </c>
      <c r="D495" s="0" t="n">
        <v>700</v>
      </c>
      <c r="E495" s="6" t="n">
        <v>0.987142857142857</v>
      </c>
      <c r="F495" s="6" t="n">
        <v>0.97574661193468</v>
      </c>
      <c r="G495" s="6" t="n">
        <v>0.993221405869326</v>
      </c>
      <c r="H495" s="7" t="n">
        <v>0.275</v>
      </c>
      <c r="I495" s="7" t="n">
        <v>1.449</v>
      </c>
      <c r="J495" s="6" t="n">
        <v>0.986975397973951</v>
      </c>
    </row>
    <row r="496" customFormat="false" ht="15" hidden="false" customHeight="false" outlineLevel="0" collapsed="false">
      <c r="A496" s="0" t="s">
        <v>152</v>
      </c>
      <c r="B496" s="0" t="s">
        <v>231</v>
      </c>
      <c r="C496" s="0" t="s">
        <v>183</v>
      </c>
      <c r="D496" s="0" t="n">
        <v>700</v>
      </c>
      <c r="E496" s="6" t="n">
        <v>0.988571428571429</v>
      </c>
      <c r="F496" s="6" t="n">
        <v>0.977611666601191</v>
      </c>
      <c r="G496" s="6" t="n">
        <v>0.994197899642123</v>
      </c>
      <c r="H496" s="7" t="n">
        <v>0.84</v>
      </c>
      <c r="I496" s="7" t="n">
        <v>1.678</v>
      </c>
      <c r="J496" s="6" t="n">
        <v>0.991329479768786</v>
      </c>
    </row>
    <row r="497" customFormat="false" ht="15" hidden="false" customHeight="false" outlineLevel="0" collapsed="false">
      <c r="A497" s="0" t="s">
        <v>152</v>
      </c>
      <c r="B497" s="0" t="s">
        <v>231</v>
      </c>
      <c r="C497" s="0" t="s">
        <v>184</v>
      </c>
      <c r="D497" s="0" t="n">
        <v>2100</v>
      </c>
      <c r="E497" s="6" t="n">
        <v>0.98952380952381</v>
      </c>
      <c r="F497" s="6" t="n">
        <v>0.98418831611063</v>
      </c>
      <c r="G497" s="6" t="n">
        <v>0.993071568854093</v>
      </c>
      <c r="H497" s="7" t="n">
        <v>0.627</v>
      </c>
      <c r="I497" s="7" t="n">
        <v>1.698</v>
      </c>
      <c r="J497" s="6" t="n">
        <v>0.989412897016362</v>
      </c>
    </row>
    <row r="498" customFormat="false" ht="15" hidden="false" customHeight="false" outlineLevel="0" collapsed="false">
      <c r="A498" s="0" t="s">
        <v>152</v>
      </c>
      <c r="B498" s="0" t="s">
        <v>232</v>
      </c>
      <c r="C498" s="0" t="s">
        <v>181</v>
      </c>
      <c r="D498" s="0" t="n">
        <v>700</v>
      </c>
      <c r="E498" s="6" t="n">
        <v>0.964285714285714</v>
      </c>
      <c r="F498" s="6" t="n">
        <v>0.947809237944355</v>
      </c>
      <c r="G498" s="6" t="n">
        <v>0.975694004830724</v>
      </c>
      <c r="H498" s="7" t="n">
        <v>0.65</v>
      </c>
      <c r="I498" s="7" t="n">
        <v>1.161</v>
      </c>
      <c r="J498" s="6" t="n">
        <v>1</v>
      </c>
    </row>
    <row r="499" customFormat="false" ht="15" hidden="false" customHeight="false" outlineLevel="0" collapsed="false">
      <c r="A499" s="0" t="s">
        <v>152</v>
      </c>
      <c r="B499" s="0" t="s">
        <v>232</v>
      </c>
      <c r="C499" s="0" t="s">
        <v>182</v>
      </c>
      <c r="D499" s="0" t="n">
        <v>700</v>
      </c>
      <c r="E499" s="6" t="n">
        <v>0.971428571428571</v>
      </c>
      <c r="F499" s="6" t="n">
        <v>0.956281337816724</v>
      </c>
      <c r="G499" s="6" t="n">
        <v>0.981429647154894</v>
      </c>
      <c r="H499" s="7" t="n">
        <v>0.33</v>
      </c>
      <c r="I499" s="7" t="n">
        <v>1.536</v>
      </c>
      <c r="J499" s="6" t="n">
        <v>1</v>
      </c>
    </row>
    <row r="500" customFormat="false" ht="15" hidden="false" customHeight="false" outlineLevel="0" collapsed="false">
      <c r="A500" s="0" t="s">
        <v>152</v>
      </c>
      <c r="B500" s="0" t="s">
        <v>232</v>
      </c>
      <c r="C500" s="0" t="s">
        <v>183</v>
      </c>
      <c r="D500" s="0" t="n">
        <v>700</v>
      </c>
      <c r="E500" s="6" t="n">
        <v>0.981428571428571</v>
      </c>
      <c r="F500" s="6" t="n">
        <v>0.968486560814195</v>
      </c>
      <c r="G500" s="6" t="n">
        <v>0.98911526323258</v>
      </c>
      <c r="H500" s="7" t="n">
        <v>0.929</v>
      </c>
      <c r="I500" s="7" t="n">
        <v>1.515</v>
      </c>
      <c r="J500" s="6" t="n">
        <v>0.998544395924309</v>
      </c>
    </row>
    <row r="501" customFormat="false" ht="15" hidden="false" customHeight="false" outlineLevel="0" collapsed="false">
      <c r="A501" s="0" t="s">
        <v>152</v>
      </c>
      <c r="B501" s="0" t="s">
        <v>232</v>
      </c>
      <c r="C501" s="0" t="s">
        <v>184</v>
      </c>
      <c r="D501" s="0" t="n">
        <v>2100</v>
      </c>
      <c r="E501" s="6" t="n">
        <v>0.972380952380952</v>
      </c>
      <c r="F501" s="6" t="n">
        <v>0.964462658818227</v>
      </c>
      <c r="G501" s="6" t="n">
        <v>0.978574117334503</v>
      </c>
      <c r="H501" s="7" t="n">
        <v>0.71</v>
      </c>
      <c r="I501" s="7" t="n">
        <v>1.442</v>
      </c>
      <c r="J501" s="6" t="n">
        <v>0.99951028403526</v>
      </c>
    </row>
    <row r="502" customFormat="false" ht="15" hidden="false" customHeight="false" outlineLevel="0" collapsed="false">
      <c r="A502" s="0" t="s">
        <v>152</v>
      </c>
      <c r="B502" s="0" t="s">
        <v>233</v>
      </c>
      <c r="C502" s="0" t="s">
        <v>181</v>
      </c>
      <c r="D502" s="0" t="n">
        <v>700</v>
      </c>
      <c r="E502" s="6" t="n">
        <v>0.971428571428571</v>
      </c>
      <c r="F502" s="6" t="n">
        <v>0.956281337816724</v>
      </c>
      <c r="G502" s="6" t="n">
        <v>0.981429647154894</v>
      </c>
      <c r="H502" s="7" t="n">
        <v>1.791</v>
      </c>
      <c r="I502" s="7" t="n">
        <v>2.976</v>
      </c>
      <c r="J502" s="6" t="n">
        <v>0.995588235294118</v>
      </c>
    </row>
    <row r="503" customFormat="false" ht="15" hidden="false" customHeight="false" outlineLevel="0" collapsed="false">
      <c r="A503" s="0" t="s">
        <v>152</v>
      </c>
      <c r="B503" s="0" t="s">
        <v>233</v>
      </c>
      <c r="C503" s="0" t="s">
        <v>182</v>
      </c>
      <c r="D503" s="0" t="n">
        <v>700</v>
      </c>
      <c r="E503" s="6" t="n">
        <v>0.954285714285714</v>
      </c>
      <c r="F503" s="6" t="n">
        <v>0.936177623395139</v>
      </c>
      <c r="G503" s="6" t="n">
        <v>0.967434780304784</v>
      </c>
      <c r="H503" s="7" t="n">
        <v>1.474</v>
      </c>
      <c r="I503" s="7" t="n">
        <v>2.693</v>
      </c>
      <c r="J503" s="6" t="n">
        <v>0.998502994011976</v>
      </c>
    </row>
    <row r="504" customFormat="false" ht="15" hidden="false" customHeight="false" outlineLevel="0" collapsed="false">
      <c r="A504" s="0" t="s">
        <v>152</v>
      </c>
      <c r="B504" s="0" t="s">
        <v>233</v>
      </c>
      <c r="C504" s="0" t="s">
        <v>183</v>
      </c>
      <c r="D504" s="0" t="n">
        <v>700</v>
      </c>
      <c r="E504" s="6" t="n">
        <v>0.958571428571429</v>
      </c>
      <c r="F504" s="6" t="n">
        <v>0.941134811046371</v>
      </c>
      <c r="G504" s="6" t="n">
        <v>0.971002237971477</v>
      </c>
      <c r="H504" s="7" t="n">
        <v>2.062</v>
      </c>
      <c r="I504" s="7" t="n">
        <v>2.86</v>
      </c>
      <c r="J504" s="6" t="n">
        <v>0.997019374068554</v>
      </c>
    </row>
    <row r="505" customFormat="false" ht="15" hidden="false" customHeight="false" outlineLevel="0" collapsed="false">
      <c r="A505" s="0" t="s">
        <v>152</v>
      </c>
      <c r="B505" s="0" t="s">
        <v>233</v>
      </c>
      <c r="C505" s="0" t="s">
        <v>184</v>
      </c>
      <c r="D505" s="0" t="n">
        <v>2100</v>
      </c>
      <c r="E505" s="6" t="n">
        <v>0.961428571428571</v>
      </c>
      <c r="F505" s="6" t="n">
        <v>0.95231409918647</v>
      </c>
      <c r="G505" s="6" t="n">
        <v>0.968857913003041</v>
      </c>
      <c r="H505" s="7" t="n">
        <v>1.767</v>
      </c>
      <c r="I505" s="7" t="n">
        <v>2.858</v>
      </c>
      <c r="J505" s="6" t="n">
        <v>0.99702823179792</v>
      </c>
    </row>
    <row r="506" customFormat="false" ht="15" hidden="false" customHeight="false" outlineLevel="0" collapsed="false">
      <c r="A506" s="0" t="s">
        <v>152</v>
      </c>
      <c r="B506" s="0" t="s">
        <v>234</v>
      </c>
      <c r="C506" s="0" t="s">
        <v>181</v>
      </c>
      <c r="D506" s="0" t="n">
        <v>700</v>
      </c>
      <c r="E506" s="6" t="n">
        <v>0.947142857142857</v>
      </c>
      <c r="F506" s="6" t="n">
        <v>0.927992938598072</v>
      </c>
      <c r="G506" s="6" t="n">
        <v>0.961411722905312</v>
      </c>
      <c r="H506" s="7" t="n">
        <v>3.318</v>
      </c>
      <c r="I506" s="7" t="n">
        <v>5.95</v>
      </c>
      <c r="J506" s="6" t="n">
        <v>0.996983408748115</v>
      </c>
    </row>
    <row r="507" customFormat="false" ht="15" hidden="false" customHeight="false" outlineLevel="0" collapsed="false">
      <c r="A507" s="0" t="s">
        <v>152</v>
      </c>
      <c r="B507" s="0" t="s">
        <v>234</v>
      </c>
      <c r="C507" s="0" t="s">
        <v>182</v>
      </c>
      <c r="D507" s="0" t="n">
        <v>700</v>
      </c>
      <c r="E507" s="6" t="n">
        <v>0.952857142857143</v>
      </c>
      <c r="F507" s="6" t="n">
        <v>0.934533391763039</v>
      </c>
      <c r="G507" s="6" t="n">
        <v>0.966237463497577</v>
      </c>
      <c r="H507" s="7" t="n">
        <v>3.005</v>
      </c>
      <c r="I507" s="7" t="n">
        <v>5.26</v>
      </c>
      <c r="J507" s="6" t="n">
        <v>0.998500749625187</v>
      </c>
    </row>
    <row r="508" customFormat="false" ht="15" hidden="false" customHeight="false" outlineLevel="0" collapsed="false">
      <c r="A508" s="0" t="s">
        <v>152</v>
      </c>
      <c r="B508" s="0" t="s">
        <v>234</v>
      </c>
      <c r="C508" s="0" t="s">
        <v>183</v>
      </c>
      <c r="D508" s="0" t="n">
        <v>700</v>
      </c>
      <c r="E508" s="6" t="n">
        <v>0.937142857142857</v>
      </c>
      <c r="F508" s="6" t="n">
        <v>0.916668100356254</v>
      </c>
      <c r="G508" s="6" t="n">
        <v>0.952845722071975</v>
      </c>
      <c r="H508" s="7" t="n">
        <v>3.666</v>
      </c>
      <c r="I508" s="7" t="n">
        <v>5.132</v>
      </c>
      <c r="J508" s="6" t="n">
        <v>0.996951219512195</v>
      </c>
    </row>
    <row r="509" customFormat="false" ht="15" hidden="false" customHeight="false" outlineLevel="0" collapsed="false">
      <c r="A509" s="0" t="s">
        <v>152</v>
      </c>
      <c r="B509" s="0" t="s">
        <v>234</v>
      </c>
      <c r="C509" s="0" t="s">
        <v>184</v>
      </c>
      <c r="D509" s="0" t="n">
        <v>2100</v>
      </c>
      <c r="E509" s="6" t="n">
        <v>0.945714285714286</v>
      </c>
      <c r="F509" s="6" t="n">
        <v>0.935184107123282</v>
      </c>
      <c r="G509" s="6" t="n">
        <v>0.954616721988568</v>
      </c>
      <c r="H509" s="7" t="n">
        <v>3.3415</v>
      </c>
      <c r="I509" s="7" t="n">
        <v>5.41</v>
      </c>
      <c r="J509" s="6" t="n">
        <v>0.997482376636455</v>
      </c>
    </row>
    <row r="510" customFormat="false" ht="15" hidden="false" customHeight="false" outlineLevel="0" collapsed="false">
      <c r="A510" s="0" t="s">
        <v>152</v>
      </c>
      <c r="B510" s="0" t="s">
        <v>235</v>
      </c>
      <c r="C510" s="0" t="s">
        <v>181</v>
      </c>
      <c r="D510" s="0" t="n">
        <v>700</v>
      </c>
      <c r="E510" s="6" t="n">
        <v>0.955714285714286</v>
      </c>
      <c r="F510" s="6" t="n">
        <v>0.937825815991457</v>
      </c>
      <c r="G510" s="6" t="n">
        <v>0.968628136147775</v>
      </c>
      <c r="H510" s="7" t="n">
        <v>0.686</v>
      </c>
      <c r="I510" s="7" t="n">
        <v>2.04</v>
      </c>
      <c r="J510" s="6" t="n">
        <v>0.988041853512706</v>
      </c>
    </row>
    <row r="511" customFormat="false" ht="15" hidden="false" customHeight="false" outlineLevel="0" collapsed="false">
      <c r="A511" s="0" t="s">
        <v>152</v>
      </c>
      <c r="B511" s="0" t="s">
        <v>235</v>
      </c>
      <c r="C511" s="0" t="s">
        <v>182</v>
      </c>
      <c r="D511" s="0" t="n">
        <v>700</v>
      </c>
      <c r="E511" s="6" t="n">
        <v>0.967142857142857</v>
      </c>
      <c r="F511" s="6" t="n">
        <v>0.951178839864326</v>
      </c>
      <c r="G511" s="6" t="n">
        <v>0.978007499789369</v>
      </c>
      <c r="H511" s="7" t="n">
        <v>0.398</v>
      </c>
      <c r="I511" s="7" t="n">
        <v>2.149</v>
      </c>
      <c r="J511" s="6" t="n">
        <v>0.99261447562777</v>
      </c>
    </row>
    <row r="512" customFormat="false" ht="15" hidden="false" customHeight="false" outlineLevel="0" collapsed="false">
      <c r="A512" s="0" t="s">
        <v>152</v>
      </c>
      <c r="B512" s="0" t="s">
        <v>235</v>
      </c>
      <c r="C512" s="0" t="s">
        <v>183</v>
      </c>
      <c r="D512" s="0" t="n">
        <v>700</v>
      </c>
      <c r="E512" s="6" t="n">
        <v>0.974285714285714</v>
      </c>
      <c r="F512" s="6" t="n">
        <v>0.959720313640906</v>
      </c>
      <c r="G512" s="6" t="n">
        <v>0.983673768209328</v>
      </c>
      <c r="H512" s="7" t="n">
        <v>0.989</v>
      </c>
      <c r="I512" s="7" t="n">
        <v>2.745</v>
      </c>
      <c r="J512" s="6" t="n">
        <v>0.98533724340176</v>
      </c>
    </row>
    <row r="513" customFormat="false" ht="15" hidden="false" customHeight="false" outlineLevel="0" collapsed="false">
      <c r="A513" s="0" t="s">
        <v>152</v>
      </c>
      <c r="B513" s="0" t="s">
        <v>235</v>
      </c>
      <c r="C513" s="0" t="s">
        <v>184</v>
      </c>
      <c r="D513" s="0" t="n">
        <v>2100</v>
      </c>
      <c r="E513" s="6" t="n">
        <v>0.965714285714286</v>
      </c>
      <c r="F513" s="6" t="n">
        <v>0.957041991780791</v>
      </c>
      <c r="G513" s="6" t="n">
        <v>0.972685797611718</v>
      </c>
      <c r="H513" s="7" t="n">
        <v>0.8005</v>
      </c>
      <c r="I513" s="7" t="n">
        <v>2.312</v>
      </c>
      <c r="J513" s="6" t="n">
        <v>0.988658777120316</v>
      </c>
    </row>
    <row r="514" customFormat="false" ht="15" hidden="false" customHeight="false" outlineLevel="0" collapsed="false">
      <c r="A514" s="0" t="s">
        <v>152</v>
      </c>
      <c r="B514" s="0" t="s">
        <v>236</v>
      </c>
      <c r="C514" s="0" t="s">
        <v>181</v>
      </c>
      <c r="D514" s="0" t="n">
        <v>700</v>
      </c>
      <c r="E514" s="6" t="n">
        <v>0.984285714285714</v>
      </c>
      <c r="F514" s="6" t="n">
        <v>0.97208169241775</v>
      </c>
      <c r="G514" s="6" t="n">
        <v>0.99120322850764</v>
      </c>
      <c r="H514" s="7" t="n">
        <v>0.768</v>
      </c>
      <c r="I514" s="7" t="n">
        <v>2.485</v>
      </c>
      <c r="J514" s="6" t="n">
        <v>0.968069666182874</v>
      </c>
    </row>
    <row r="515" customFormat="false" ht="15" hidden="false" customHeight="false" outlineLevel="0" collapsed="false">
      <c r="A515" s="0" t="s">
        <v>152</v>
      </c>
      <c r="B515" s="0" t="s">
        <v>236</v>
      </c>
      <c r="C515" s="0" t="s">
        <v>182</v>
      </c>
      <c r="D515" s="0" t="n">
        <v>700</v>
      </c>
      <c r="E515" s="6" t="n">
        <v>0.985714285714286</v>
      </c>
      <c r="F515" s="6" t="n">
        <v>0.973904289668848</v>
      </c>
      <c r="G515" s="6" t="n">
        <v>0.99222217969585</v>
      </c>
      <c r="H515" s="7" t="n">
        <v>0.4355</v>
      </c>
      <c r="I515" s="7" t="n">
        <v>1.924</v>
      </c>
      <c r="J515" s="6" t="n">
        <v>0.969565217391304</v>
      </c>
    </row>
    <row r="516" customFormat="false" ht="15" hidden="false" customHeight="false" outlineLevel="0" collapsed="false">
      <c r="A516" s="0" t="s">
        <v>152</v>
      </c>
      <c r="B516" s="0" t="s">
        <v>236</v>
      </c>
      <c r="C516" s="0" t="s">
        <v>183</v>
      </c>
      <c r="D516" s="0" t="n">
        <v>700</v>
      </c>
      <c r="E516" s="6" t="n">
        <v>0.96</v>
      </c>
      <c r="F516" s="6" t="n">
        <v>0.942796014664909</v>
      </c>
      <c r="G516" s="6" t="n">
        <v>0.972182582792247</v>
      </c>
      <c r="H516" s="7" t="n">
        <v>1.038</v>
      </c>
      <c r="I516" s="7" t="n">
        <v>2.789</v>
      </c>
      <c r="J516" s="6" t="n">
        <v>0.967261904761905</v>
      </c>
    </row>
    <row r="517" customFormat="false" ht="15" hidden="false" customHeight="false" outlineLevel="0" collapsed="false">
      <c r="A517" s="0" t="s">
        <v>152</v>
      </c>
      <c r="B517" s="0" t="s">
        <v>236</v>
      </c>
      <c r="C517" s="0" t="s">
        <v>184</v>
      </c>
      <c r="D517" s="0" t="n">
        <v>2100</v>
      </c>
      <c r="E517" s="6" t="n">
        <v>0.976666666666667</v>
      </c>
      <c r="F517" s="6" t="n">
        <v>0.969287057834905</v>
      </c>
      <c r="G517" s="6" t="n">
        <v>0.982305495520823</v>
      </c>
      <c r="H517" s="7" t="n">
        <v>0.908</v>
      </c>
      <c r="I517" s="7" t="n">
        <v>2.373</v>
      </c>
      <c r="J517" s="6" t="n">
        <v>0.968308142369576</v>
      </c>
    </row>
    <row r="518" customFormat="false" ht="15" hidden="false" customHeight="false" outlineLevel="0" collapsed="false">
      <c r="A518" s="0" t="s">
        <v>152</v>
      </c>
      <c r="B518" s="0" t="s">
        <v>237</v>
      </c>
      <c r="C518" s="0" t="s">
        <v>181</v>
      </c>
      <c r="D518" s="0" t="n">
        <v>700</v>
      </c>
      <c r="E518" s="6" t="n">
        <v>0.965714285714286</v>
      </c>
      <c r="F518" s="6" t="n">
        <v>0.949491086083485</v>
      </c>
      <c r="G518" s="6" t="n">
        <v>0.976853705130902</v>
      </c>
      <c r="H518" s="7" t="n">
        <v>1.999</v>
      </c>
      <c r="I518" s="7" t="n">
        <v>3.638</v>
      </c>
      <c r="J518" s="6" t="n">
        <v>0.99112426035503</v>
      </c>
    </row>
    <row r="519" customFormat="false" ht="15" hidden="false" customHeight="false" outlineLevel="0" collapsed="false">
      <c r="A519" s="0" t="s">
        <v>152</v>
      </c>
      <c r="B519" s="0" t="s">
        <v>237</v>
      </c>
      <c r="C519" s="0" t="s">
        <v>182</v>
      </c>
      <c r="D519" s="0" t="n">
        <v>700</v>
      </c>
      <c r="E519" s="6" t="n">
        <v>0.95</v>
      </c>
      <c r="F519" s="6" t="n">
        <v>0.931256162164541</v>
      </c>
      <c r="G519" s="6" t="n">
        <v>0.963831596217458</v>
      </c>
      <c r="H519" s="7" t="n">
        <v>1.733</v>
      </c>
      <c r="I519" s="7" t="n">
        <v>3.149</v>
      </c>
      <c r="J519" s="6" t="n">
        <v>0.990977443609023</v>
      </c>
    </row>
    <row r="520" customFormat="false" ht="15" hidden="false" customHeight="false" outlineLevel="0" collapsed="false">
      <c r="A520" s="0" t="s">
        <v>152</v>
      </c>
      <c r="B520" s="0" t="s">
        <v>237</v>
      </c>
      <c r="C520" s="0" t="s">
        <v>183</v>
      </c>
      <c r="D520" s="0" t="n">
        <v>700</v>
      </c>
      <c r="E520" s="6" t="n">
        <v>0.974285714285714</v>
      </c>
      <c r="F520" s="6" t="n">
        <v>0.959720313640906</v>
      </c>
      <c r="G520" s="6" t="n">
        <v>0.983673768209328</v>
      </c>
      <c r="H520" s="7" t="n">
        <v>2.2945</v>
      </c>
      <c r="I520" s="7" t="n">
        <v>4.114</v>
      </c>
      <c r="J520" s="6" t="n">
        <v>0.988269794721408</v>
      </c>
    </row>
    <row r="521" customFormat="false" ht="15" hidden="false" customHeight="false" outlineLevel="0" collapsed="false">
      <c r="A521" s="0" t="s">
        <v>152</v>
      </c>
      <c r="B521" s="0" t="s">
        <v>237</v>
      </c>
      <c r="C521" s="0" t="s">
        <v>184</v>
      </c>
      <c r="D521" s="0" t="n">
        <v>2100</v>
      </c>
      <c r="E521" s="6" t="n">
        <v>0.963333333333333</v>
      </c>
      <c r="F521" s="6" t="n">
        <v>0.954411776348792</v>
      </c>
      <c r="G521" s="6" t="n">
        <v>0.970562803486496</v>
      </c>
      <c r="H521" s="7" t="n">
        <v>1.995</v>
      </c>
      <c r="I521" s="7" t="n">
        <v>3.585</v>
      </c>
      <c r="J521" s="6" t="n">
        <v>0.990113692535838</v>
      </c>
    </row>
    <row r="522" customFormat="false" ht="15" hidden="false" customHeight="false" outlineLevel="0" collapsed="false">
      <c r="A522" s="0" t="s">
        <v>152</v>
      </c>
      <c r="B522" s="0" t="s">
        <v>238</v>
      </c>
      <c r="C522" s="0" t="s">
        <v>181</v>
      </c>
      <c r="D522" s="0" t="n">
        <v>700</v>
      </c>
      <c r="E522" s="6" t="n">
        <v>0.948571428571429</v>
      </c>
      <c r="F522" s="6" t="n">
        <v>0.929622867575716</v>
      </c>
      <c r="G522" s="6" t="n">
        <v>0.962623342366976</v>
      </c>
      <c r="H522" s="7" t="n">
        <v>1.661</v>
      </c>
      <c r="I522" s="7" t="n">
        <v>4.275</v>
      </c>
      <c r="J522" s="6" t="n">
        <v>0.995481927710843</v>
      </c>
    </row>
    <row r="523" customFormat="false" ht="15" hidden="false" customHeight="false" outlineLevel="0" collapsed="false">
      <c r="A523" s="0" t="s">
        <v>152</v>
      </c>
      <c r="B523" s="0" t="s">
        <v>238</v>
      </c>
      <c r="C523" s="0" t="s">
        <v>182</v>
      </c>
      <c r="D523" s="0" t="n">
        <v>700</v>
      </c>
      <c r="E523" s="6" t="n">
        <v>0.98</v>
      </c>
      <c r="F523" s="6" t="n">
        <v>0.966710489999096</v>
      </c>
      <c r="G523" s="6" t="n">
        <v>0.98804978560837</v>
      </c>
      <c r="H523" s="7" t="n">
        <v>1.316</v>
      </c>
      <c r="I523" s="7" t="n">
        <v>3.649</v>
      </c>
      <c r="J523" s="6" t="n">
        <v>0.995626822157434</v>
      </c>
    </row>
    <row r="524" customFormat="false" ht="15" hidden="false" customHeight="false" outlineLevel="0" collapsed="false">
      <c r="A524" s="0" t="s">
        <v>152</v>
      </c>
      <c r="B524" s="0" t="s">
        <v>238</v>
      </c>
      <c r="C524" s="0" t="s">
        <v>183</v>
      </c>
      <c r="D524" s="0" t="n">
        <v>700</v>
      </c>
      <c r="E524" s="6" t="n">
        <v>0.948571428571429</v>
      </c>
      <c r="F524" s="6" t="n">
        <v>0.929622867575716</v>
      </c>
      <c r="G524" s="6" t="n">
        <v>0.962623342366976</v>
      </c>
      <c r="H524" s="7" t="n">
        <v>1.914</v>
      </c>
      <c r="I524" s="7" t="n">
        <v>4.41</v>
      </c>
      <c r="J524" s="6" t="n">
        <v>0.998493975903614</v>
      </c>
    </row>
    <row r="525" customFormat="false" ht="15" hidden="false" customHeight="false" outlineLevel="0" collapsed="false">
      <c r="A525" s="0" t="s">
        <v>152</v>
      </c>
      <c r="B525" s="0" t="s">
        <v>238</v>
      </c>
      <c r="C525" s="0" t="s">
        <v>184</v>
      </c>
      <c r="D525" s="0" t="n">
        <v>2100</v>
      </c>
      <c r="E525" s="6" t="n">
        <v>0.959047619047619</v>
      </c>
      <c r="F525" s="6" t="n">
        <v>0.949699465889591</v>
      </c>
      <c r="G525" s="6" t="n">
        <v>0.966719336742699</v>
      </c>
      <c r="H525" s="7" t="n">
        <v>1.669</v>
      </c>
      <c r="I525" s="7" t="n">
        <v>4.203</v>
      </c>
      <c r="J525" s="6" t="n">
        <v>0.996524329692155</v>
      </c>
    </row>
    <row r="526" customFormat="false" ht="15" hidden="false" customHeight="false" outlineLevel="0" collapsed="false">
      <c r="A526" s="0" t="s">
        <v>152</v>
      </c>
      <c r="B526" s="0" t="s">
        <v>239</v>
      </c>
      <c r="C526" s="0" t="s">
        <v>181</v>
      </c>
      <c r="D526" s="0" t="n">
        <v>700</v>
      </c>
      <c r="E526" s="6" t="n">
        <v>0.957142857142857</v>
      </c>
      <c r="F526" s="6" t="n">
        <v>0.9394781476959</v>
      </c>
      <c r="G526" s="6" t="n">
        <v>0.969817352882639</v>
      </c>
      <c r="H526" s="7" t="n">
        <v>1.765</v>
      </c>
      <c r="I526" s="7" t="n">
        <v>5.015</v>
      </c>
      <c r="J526" s="6" t="n">
        <v>0.997014925373134</v>
      </c>
    </row>
    <row r="527" customFormat="false" ht="15" hidden="false" customHeight="false" outlineLevel="0" collapsed="false">
      <c r="A527" s="0" t="s">
        <v>152</v>
      </c>
      <c r="B527" s="0" t="s">
        <v>239</v>
      </c>
      <c r="C527" s="0" t="s">
        <v>182</v>
      </c>
      <c r="D527" s="0" t="n">
        <v>700</v>
      </c>
      <c r="E527" s="6" t="n">
        <v>0.97</v>
      </c>
      <c r="F527" s="6" t="n">
        <v>0.954573543513331</v>
      </c>
      <c r="G527" s="6" t="n">
        <v>0.980295893018979</v>
      </c>
      <c r="H527" s="7" t="n">
        <v>1.341</v>
      </c>
      <c r="I527" s="7" t="n">
        <v>3.639</v>
      </c>
      <c r="J527" s="6" t="n">
        <v>1</v>
      </c>
    </row>
    <row r="528" customFormat="false" ht="15" hidden="false" customHeight="false" outlineLevel="0" collapsed="false">
      <c r="A528" s="0" t="s">
        <v>152</v>
      </c>
      <c r="B528" s="0" t="s">
        <v>239</v>
      </c>
      <c r="C528" s="0" t="s">
        <v>183</v>
      </c>
      <c r="D528" s="0" t="n">
        <v>700</v>
      </c>
      <c r="E528" s="6" t="n">
        <v>0.968571428571429</v>
      </c>
      <c r="F528" s="6" t="n">
        <v>0.95287285922612</v>
      </c>
      <c r="G528" s="6" t="n">
        <v>0.979155028866883</v>
      </c>
      <c r="H528" s="7" t="n">
        <v>1.89</v>
      </c>
      <c r="I528" s="7" t="n">
        <v>4.172</v>
      </c>
      <c r="J528" s="6" t="n">
        <v>0.998525073746313</v>
      </c>
    </row>
    <row r="529" customFormat="false" ht="15" hidden="false" customHeight="false" outlineLevel="0" collapsed="false">
      <c r="A529" s="0" t="s">
        <v>152</v>
      </c>
      <c r="B529" s="0" t="s">
        <v>239</v>
      </c>
      <c r="C529" s="0" t="s">
        <v>184</v>
      </c>
      <c r="D529" s="0" t="n">
        <v>2100</v>
      </c>
      <c r="E529" s="6" t="n">
        <v>0.965238095238095</v>
      </c>
      <c r="F529" s="6" t="n">
        <v>0.956515190143851</v>
      </c>
      <c r="G529" s="6" t="n">
        <v>0.972261957337214</v>
      </c>
      <c r="H529" s="7" t="n">
        <v>1.731</v>
      </c>
      <c r="I529" s="7" t="n">
        <v>4.209</v>
      </c>
      <c r="J529" s="6" t="n">
        <v>0.998519980266404</v>
      </c>
    </row>
    <row r="530" customFormat="false" ht="15" hidden="false" customHeight="false" outlineLevel="0" collapsed="false">
      <c r="A530" s="0" t="s">
        <v>163</v>
      </c>
      <c r="B530" s="0" t="s">
        <v>228</v>
      </c>
      <c r="C530" s="0" t="s">
        <v>181</v>
      </c>
      <c r="D530" s="0" t="n">
        <v>700</v>
      </c>
      <c r="E530" s="6" t="n">
        <v>0.978571428571429</v>
      </c>
      <c r="F530" s="6" t="n">
        <v>0.964946881051218</v>
      </c>
      <c r="G530" s="6" t="n">
        <v>0.986971846116941</v>
      </c>
      <c r="H530" s="7" t="n">
        <v>0.806</v>
      </c>
      <c r="I530" s="7" t="n">
        <v>1.632</v>
      </c>
      <c r="J530" s="6" t="n">
        <v>0.976642335766423</v>
      </c>
    </row>
    <row r="531" customFormat="false" ht="15" hidden="false" customHeight="false" outlineLevel="0" collapsed="false">
      <c r="A531" s="0" t="s">
        <v>163</v>
      </c>
      <c r="B531" s="0" t="s">
        <v>228</v>
      </c>
      <c r="C531" s="0" t="s">
        <v>182</v>
      </c>
      <c r="D531" s="0" t="n">
        <v>700</v>
      </c>
      <c r="E531" s="6" t="n">
        <v>0.991428571428571</v>
      </c>
      <c r="F531" s="6" t="n">
        <v>0.981426723313498</v>
      </c>
      <c r="G531" s="6" t="n">
        <v>0.996065939808432</v>
      </c>
      <c r="H531" s="7" t="n">
        <v>0.9605</v>
      </c>
      <c r="I531" s="7" t="n">
        <v>2.404</v>
      </c>
      <c r="J531" s="6" t="n">
        <v>0.979827089337176</v>
      </c>
    </row>
    <row r="532" customFormat="false" ht="15" hidden="false" customHeight="false" outlineLevel="0" collapsed="false">
      <c r="A532" s="0" t="s">
        <v>163</v>
      </c>
      <c r="B532" s="0" t="s">
        <v>228</v>
      </c>
      <c r="C532" s="0" t="s">
        <v>183</v>
      </c>
      <c r="D532" s="0" t="n">
        <v>700</v>
      </c>
      <c r="E532" s="6" t="n">
        <v>0.995714285714286</v>
      </c>
      <c r="F532" s="6" t="n">
        <v>0.987475859383073</v>
      </c>
      <c r="G532" s="6" t="n">
        <v>0.99854144905678</v>
      </c>
      <c r="H532" s="7" t="n">
        <v>1.63</v>
      </c>
      <c r="I532" s="7" t="n">
        <v>2.704</v>
      </c>
      <c r="J532" s="6" t="n">
        <v>0.977044476327116</v>
      </c>
    </row>
    <row r="533" customFormat="false" ht="15" hidden="false" customHeight="false" outlineLevel="0" collapsed="false">
      <c r="A533" s="0" t="s">
        <v>163</v>
      </c>
      <c r="B533" s="0" t="s">
        <v>228</v>
      </c>
      <c r="C533" s="0" t="s">
        <v>184</v>
      </c>
      <c r="D533" s="0" t="n">
        <v>2100</v>
      </c>
      <c r="E533" s="6" t="n">
        <v>0.988571428571429</v>
      </c>
      <c r="F533" s="6" t="n">
        <v>0.983050490079379</v>
      </c>
      <c r="G533" s="6" t="n">
        <v>0.992308111062456</v>
      </c>
      <c r="H533" s="7" t="n">
        <v>1.1485</v>
      </c>
      <c r="I533" s="7" t="n">
        <v>2.404</v>
      </c>
      <c r="J533" s="6" t="n">
        <v>0.977842003853565</v>
      </c>
    </row>
    <row r="534" customFormat="false" ht="15" hidden="false" customHeight="false" outlineLevel="0" collapsed="false">
      <c r="A534" s="0" t="s">
        <v>163</v>
      </c>
      <c r="B534" s="0" t="s">
        <v>229</v>
      </c>
      <c r="C534" s="0" t="s">
        <v>181</v>
      </c>
      <c r="D534" s="0" t="n">
        <v>700</v>
      </c>
      <c r="E534" s="6" t="n">
        <v>0.968571428571429</v>
      </c>
      <c r="F534" s="6" t="n">
        <v>0.95287285922612</v>
      </c>
      <c r="G534" s="6" t="n">
        <v>0.979155028866883</v>
      </c>
      <c r="H534" s="7" t="n">
        <v>0.8035</v>
      </c>
      <c r="I534" s="7" t="n">
        <v>1.273</v>
      </c>
      <c r="J534" s="6" t="n">
        <v>0.998525073746313</v>
      </c>
    </row>
    <row r="535" customFormat="false" ht="15" hidden="false" customHeight="false" outlineLevel="0" collapsed="false">
      <c r="A535" s="0" t="s">
        <v>163</v>
      </c>
      <c r="B535" s="0" t="s">
        <v>229</v>
      </c>
      <c r="C535" s="0" t="s">
        <v>182</v>
      </c>
      <c r="D535" s="0" t="n">
        <v>700</v>
      </c>
      <c r="E535" s="6" t="n">
        <v>1</v>
      </c>
      <c r="F535" s="6" t="n">
        <v>0.994541953757777</v>
      </c>
      <c r="G535" s="6" t="n">
        <v>1</v>
      </c>
      <c r="H535" s="7" t="n">
        <v>0.2885</v>
      </c>
      <c r="I535" s="7" t="n">
        <v>0.556</v>
      </c>
      <c r="J535" s="6" t="n">
        <v>0.998571428571429</v>
      </c>
    </row>
    <row r="536" customFormat="false" ht="15" hidden="false" customHeight="false" outlineLevel="0" collapsed="false">
      <c r="A536" s="0" t="s">
        <v>163</v>
      </c>
      <c r="B536" s="0" t="s">
        <v>229</v>
      </c>
      <c r="C536" s="0" t="s">
        <v>183</v>
      </c>
      <c r="D536" s="0" t="n">
        <v>700</v>
      </c>
      <c r="E536" s="6" t="n">
        <v>0.998571428571429</v>
      </c>
      <c r="F536" s="6" t="n">
        <v>0.991952621292185</v>
      </c>
      <c r="G536" s="6" t="n">
        <v>0.999747784026285</v>
      </c>
      <c r="H536" s="7" t="n">
        <v>1.203</v>
      </c>
      <c r="I536" s="7" t="n">
        <v>1.49</v>
      </c>
      <c r="J536" s="6" t="n">
        <v>1</v>
      </c>
    </row>
    <row r="537" customFormat="false" ht="15" hidden="false" customHeight="false" outlineLevel="0" collapsed="false">
      <c r="A537" s="0" t="s">
        <v>163</v>
      </c>
      <c r="B537" s="0" t="s">
        <v>229</v>
      </c>
      <c r="C537" s="0" t="s">
        <v>184</v>
      </c>
      <c r="D537" s="0" t="n">
        <v>2100</v>
      </c>
      <c r="E537" s="6" t="n">
        <v>0.989047619047619</v>
      </c>
      <c r="F537" s="6" t="n">
        <v>0.983618391925129</v>
      </c>
      <c r="G537" s="6" t="n">
        <v>0.99269085112815</v>
      </c>
      <c r="H537" s="7" t="n">
        <v>0.818</v>
      </c>
      <c r="I537" s="7" t="n">
        <v>1.362</v>
      </c>
      <c r="J537" s="6" t="n">
        <v>0.999037072701011</v>
      </c>
    </row>
    <row r="538" customFormat="false" ht="15" hidden="false" customHeight="false" outlineLevel="0" collapsed="false">
      <c r="A538" s="0" t="s">
        <v>163</v>
      </c>
      <c r="B538" s="0" t="s">
        <v>230</v>
      </c>
      <c r="C538" s="0" t="s">
        <v>181</v>
      </c>
      <c r="D538" s="0" t="n">
        <v>700</v>
      </c>
      <c r="E538" s="6" t="n">
        <v>0.991428571428571</v>
      </c>
      <c r="F538" s="6" t="n">
        <v>0.981426723313498</v>
      </c>
      <c r="G538" s="6" t="n">
        <v>0.996065939808432</v>
      </c>
      <c r="H538" s="7" t="n">
        <v>0.8125</v>
      </c>
      <c r="I538" s="7" t="n">
        <v>1.296</v>
      </c>
      <c r="J538" s="6" t="n">
        <v>0.998559077809798</v>
      </c>
    </row>
    <row r="539" customFormat="false" ht="15" hidden="false" customHeight="false" outlineLevel="0" collapsed="false">
      <c r="A539" s="0" t="s">
        <v>163</v>
      </c>
      <c r="B539" s="0" t="s">
        <v>230</v>
      </c>
      <c r="C539" s="0" t="s">
        <v>182</v>
      </c>
      <c r="D539" s="0" t="n">
        <v>700</v>
      </c>
      <c r="E539" s="6" t="n">
        <v>1</v>
      </c>
      <c r="F539" s="6" t="n">
        <v>0.994541953757777</v>
      </c>
      <c r="G539" s="6" t="n">
        <v>1</v>
      </c>
      <c r="H539" s="7" t="n">
        <v>0.327</v>
      </c>
      <c r="I539" s="7" t="n">
        <v>1.354</v>
      </c>
      <c r="J539" s="6" t="n">
        <v>1</v>
      </c>
    </row>
    <row r="540" customFormat="false" ht="15" hidden="false" customHeight="false" outlineLevel="0" collapsed="false">
      <c r="A540" s="0" t="s">
        <v>163</v>
      </c>
      <c r="B540" s="0" t="s">
        <v>230</v>
      </c>
      <c r="C540" s="0" t="s">
        <v>183</v>
      </c>
      <c r="D540" s="0" t="n">
        <v>700</v>
      </c>
      <c r="E540" s="6" t="n">
        <v>1</v>
      </c>
      <c r="F540" s="6" t="n">
        <v>0.994541953757777</v>
      </c>
      <c r="G540" s="6" t="n">
        <v>1</v>
      </c>
      <c r="H540" s="7" t="n">
        <v>1.2315</v>
      </c>
      <c r="I540" s="7" t="n">
        <v>1.678</v>
      </c>
      <c r="J540" s="6" t="n">
        <v>1</v>
      </c>
    </row>
    <row r="541" customFormat="false" ht="15" hidden="false" customHeight="false" outlineLevel="0" collapsed="false">
      <c r="A541" s="0" t="s">
        <v>163</v>
      </c>
      <c r="B541" s="0" t="s">
        <v>230</v>
      </c>
      <c r="C541" s="0" t="s">
        <v>184</v>
      </c>
      <c r="D541" s="0" t="n">
        <v>2100</v>
      </c>
      <c r="E541" s="6" t="n">
        <v>0.997142857142857</v>
      </c>
      <c r="F541" s="6" t="n">
        <v>0.993780229483795</v>
      </c>
      <c r="G541" s="6" t="n">
        <v>0.998689926064037</v>
      </c>
      <c r="H541" s="7" t="n">
        <v>0.87</v>
      </c>
      <c r="I541" s="7" t="n">
        <v>1.515</v>
      </c>
      <c r="J541" s="6" t="n">
        <v>0.999522445081184</v>
      </c>
    </row>
    <row r="542" customFormat="false" ht="15" hidden="false" customHeight="false" outlineLevel="0" collapsed="false">
      <c r="A542" s="0" t="s">
        <v>163</v>
      </c>
      <c r="B542" s="0" t="s">
        <v>231</v>
      </c>
      <c r="C542" s="0" t="s">
        <v>181</v>
      </c>
      <c r="D542" s="0" t="n">
        <v>700</v>
      </c>
      <c r="E542" s="6" t="n">
        <v>0.99</v>
      </c>
      <c r="F542" s="6" t="n">
        <v>0.979503326116614</v>
      </c>
      <c r="G542" s="6" t="n">
        <v>0.995147788566008</v>
      </c>
      <c r="H542" s="7" t="n">
        <v>0.802</v>
      </c>
      <c r="I542" s="7" t="n">
        <v>2.228</v>
      </c>
      <c r="J542" s="6" t="n">
        <v>1</v>
      </c>
    </row>
    <row r="543" customFormat="false" ht="15" hidden="false" customHeight="false" outlineLevel="0" collapsed="false">
      <c r="A543" s="0" t="s">
        <v>163</v>
      </c>
      <c r="B543" s="0" t="s">
        <v>231</v>
      </c>
      <c r="C543" s="0" t="s">
        <v>182</v>
      </c>
      <c r="D543" s="0" t="n">
        <v>700</v>
      </c>
      <c r="E543" s="6" t="n">
        <v>0.992857142857143</v>
      </c>
      <c r="F543" s="6" t="n">
        <v>0.983388914848421</v>
      </c>
      <c r="G543" s="6" t="n">
        <v>0.996945296712817</v>
      </c>
      <c r="H543" s="7" t="n">
        <v>0.263</v>
      </c>
      <c r="I543" s="7" t="n">
        <v>1.707</v>
      </c>
      <c r="J543" s="6" t="n">
        <v>1</v>
      </c>
    </row>
    <row r="544" customFormat="false" ht="15" hidden="false" customHeight="false" outlineLevel="0" collapsed="false">
      <c r="A544" s="0" t="s">
        <v>163</v>
      </c>
      <c r="B544" s="0" t="s">
        <v>231</v>
      </c>
      <c r="C544" s="0" t="s">
        <v>183</v>
      </c>
      <c r="D544" s="0" t="n">
        <v>700</v>
      </c>
      <c r="E544" s="6" t="n">
        <v>0.997142857142857</v>
      </c>
      <c r="F544" s="6" t="n">
        <v>0.989642722089369</v>
      </c>
      <c r="G544" s="6" t="n">
        <v>0.999216134789793</v>
      </c>
      <c r="H544" s="7" t="n">
        <v>1.22</v>
      </c>
      <c r="I544" s="7" t="n">
        <v>2.803</v>
      </c>
      <c r="J544" s="6" t="n">
        <v>1</v>
      </c>
    </row>
    <row r="545" customFormat="false" ht="15" hidden="false" customHeight="false" outlineLevel="0" collapsed="false">
      <c r="A545" s="0" t="s">
        <v>163</v>
      </c>
      <c r="B545" s="0" t="s">
        <v>231</v>
      </c>
      <c r="C545" s="0" t="s">
        <v>184</v>
      </c>
      <c r="D545" s="0" t="n">
        <v>2100</v>
      </c>
      <c r="E545" s="6" t="n">
        <v>0.993333333333333</v>
      </c>
      <c r="F545" s="6" t="n">
        <v>0.988840350087163</v>
      </c>
      <c r="G545" s="6" t="n">
        <v>0.996024670169115</v>
      </c>
      <c r="H545" s="7" t="n">
        <v>0.8955</v>
      </c>
      <c r="I545" s="7" t="n">
        <v>2.336</v>
      </c>
      <c r="J545" s="6" t="n">
        <v>1</v>
      </c>
    </row>
    <row r="546" customFormat="false" ht="15" hidden="false" customHeight="false" outlineLevel="0" collapsed="false">
      <c r="A546" s="0" t="s">
        <v>163</v>
      </c>
      <c r="B546" s="0" t="s">
        <v>232</v>
      </c>
      <c r="C546" s="0" t="s">
        <v>181</v>
      </c>
      <c r="D546" s="0" t="n">
        <v>700</v>
      </c>
      <c r="E546" s="6" t="n">
        <v>0.99</v>
      </c>
      <c r="F546" s="6" t="n">
        <v>0.979503326116614</v>
      </c>
      <c r="G546" s="6" t="n">
        <v>0.995147788566008</v>
      </c>
      <c r="H546" s="7" t="n">
        <v>0.878</v>
      </c>
      <c r="I546" s="7" t="n">
        <v>1.335</v>
      </c>
      <c r="J546" s="6" t="n">
        <v>1</v>
      </c>
    </row>
    <row r="547" customFormat="false" ht="15" hidden="false" customHeight="false" outlineLevel="0" collapsed="false">
      <c r="A547" s="0" t="s">
        <v>163</v>
      </c>
      <c r="B547" s="0" t="s">
        <v>232</v>
      </c>
      <c r="C547" s="0" t="s">
        <v>182</v>
      </c>
      <c r="D547" s="0" t="n">
        <v>700</v>
      </c>
      <c r="E547" s="6" t="n">
        <v>1</v>
      </c>
      <c r="F547" s="6" t="n">
        <v>0.994541953757777</v>
      </c>
      <c r="G547" s="6" t="n">
        <v>1</v>
      </c>
      <c r="H547" s="7" t="n">
        <v>0.364</v>
      </c>
      <c r="I547" s="7" t="n">
        <v>0.693</v>
      </c>
      <c r="J547" s="6" t="n">
        <v>1</v>
      </c>
    </row>
    <row r="548" customFormat="false" ht="15" hidden="false" customHeight="false" outlineLevel="0" collapsed="false">
      <c r="A548" s="0" t="s">
        <v>163</v>
      </c>
      <c r="B548" s="0" t="s">
        <v>232</v>
      </c>
      <c r="C548" s="0" t="s">
        <v>183</v>
      </c>
      <c r="D548" s="0" t="n">
        <v>700</v>
      </c>
      <c r="E548" s="6" t="n">
        <v>1</v>
      </c>
      <c r="F548" s="6" t="n">
        <v>0.994541953757777</v>
      </c>
      <c r="G548" s="6" t="n">
        <v>1</v>
      </c>
      <c r="H548" s="7" t="n">
        <v>1.289</v>
      </c>
      <c r="I548" s="7" t="n">
        <v>1.558</v>
      </c>
      <c r="J548" s="6" t="n">
        <v>1</v>
      </c>
    </row>
    <row r="549" customFormat="false" ht="15" hidden="false" customHeight="false" outlineLevel="0" collapsed="false">
      <c r="A549" s="0" t="s">
        <v>163</v>
      </c>
      <c r="B549" s="0" t="s">
        <v>232</v>
      </c>
      <c r="C549" s="0" t="s">
        <v>184</v>
      </c>
      <c r="D549" s="0" t="n">
        <v>2100</v>
      </c>
      <c r="E549" s="6" t="n">
        <v>0.996666666666667</v>
      </c>
      <c r="F549" s="6" t="n">
        <v>0.993135096851519</v>
      </c>
      <c r="G549" s="6" t="n">
        <v>0.99838441678487</v>
      </c>
      <c r="H549" s="7" t="n">
        <v>0.902</v>
      </c>
      <c r="I549" s="7" t="n">
        <v>1.443</v>
      </c>
      <c r="J549" s="6" t="n">
        <v>1</v>
      </c>
    </row>
    <row r="550" customFormat="false" ht="15" hidden="false" customHeight="false" outlineLevel="0" collapsed="false">
      <c r="A550" s="0" t="s">
        <v>163</v>
      </c>
      <c r="B550" s="0" t="s">
        <v>233</v>
      </c>
      <c r="C550" s="0" t="s">
        <v>181</v>
      </c>
      <c r="D550" s="0" t="n">
        <v>700</v>
      </c>
      <c r="E550" s="6" t="n">
        <v>0.992857142857143</v>
      </c>
      <c r="F550" s="6" t="n">
        <v>0.983388914848421</v>
      </c>
      <c r="G550" s="6" t="n">
        <v>0.996945296712817</v>
      </c>
      <c r="H550" s="7" t="n">
        <v>1.457</v>
      </c>
      <c r="I550" s="7" t="n">
        <v>2.617</v>
      </c>
      <c r="J550" s="6" t="n">
        <v>1</v>
      </c>
    </row>
    <row r="551" customFormat="false" ht="15" hidden="false" customHeight="false" outlineLevel="0" collapsed="false">
      <c r="A551" s="0" t="s">
        <v>163</v>
      </c>
      <c r="B551" s="0" t="s">
        <v>233</v>
      </c>
      <c r="C551" s="0" t="s">
        <v>182</v>
      </c>
      <c r="D551" s="0" t="n">
        <v>700</v>
      </c>
      <c r="E551" s="6" t="n">
        <v>0.99</v>
      </c>
      <c r="F551" s="6" t="n">
        <v>0.979503326116614</v>
      </c>
      <c r="G551" s="6" t="n">
        <v>0.995147788566008</v>
      </c>
      <c r="H551" s="7" t="n">
        <v>1.563</v>
      </c>
      <c r="I551" s="7" t="n">
        <v>2.703</v>
      </c>
      <c r="J551" s="6" t="n">
        <v>1</v>
      </c>
    </row>
    <row r="552" customFormat="false" ht="15" hidden="false" customHeight="false" outlineLevel="0" collapsed="false">
      <c r="A552" s="0" t="s">
        <v>163</v>
      </c>
      <c r="B552" s="0" t="s">
        <v>233</v>
      </c>
      <c r="C552" s="0" t="s">
        <v>183</v>
      </c>
      <c r="D552" s="0" t="n">
        <v>700</v>
      </c>
      <c r="E552" s="6" t="n">
        <v>0.997142857142857</v>
      </c>
      <c r="F552" s="6" t="n">
        <v>0.989642722089369</v>
      </c>
      <c r="G552" s="6" t="n">
        <v>0.999216134789793</v>
      </c>
      <c r="H552" s="7" t="n">
        <v>2.178</v>
      </c>
      <c r="I552" s="7" t="n">
        <v>3.191</v>
      </c>
      <c r="J552" s="6" t="n">
        <v>0.998567335243553</v>
      </c>
    </row>
    <row r="553" customFormat="false" ht="15" hidden="false" customHeight="false" outlineLevel="0" collapsed="false">
      <c r="A553" s="0" t="s">
        <v>163</v>
      </c>
      <c r="B553" s="0" t="s">
        <v>233</v>
      </c>
      <c r="C553" s="0" t="s">
        <v>184</v>
      </c>
      <c r="D553" s="0" t="n">
        <v>2100</v>
      </c>
      <c r="E553" s="6" t="n">
        <v>0.993333333333333</v>
      </c>
      <c r="F553" s="6" t="n">
        <v>0.988840350087163</v>
      </c>
      <c r="G553" s="6" t="n">
        <v>0.996024670169115</v>
      </c>
      <c r="H553" s="7" t="n">
        <v>1.909</v>
      </c>
      <c r="I553" s="7" t="n">
        <v>2.97</v>
      </c>
      <c r="J553" s="6" t="n">
        <v>0.999520613614573</v>
      </c>
    </row>
    <row r="554" customFormat="false" ht="15" hidden="false" customHeight="false" outlineLevel="0" collapsed="false">
      <c r="A554" s="0" t="s">
        <v>163</v>
      </c>
      <c r="B554" s="0" t="s">
        <v>234</v>
      </c>
      <c r="C554" s="0" t="s">
        <v>181</v>
      </c>
      <c r="D554" s="0" t="n">
        <v>700</v>
      </c>
      <c r="E554" s="6" t="n">
        <v>0.995714285714286</v>
      </c>
      <c r="F554" s="6" t="n">
        <v>0.987475859383073</v>
      </c>
      <c r="G554" s="6" t="n">
        <v>0.99854144905678</v>
      </c>
      <c r="H554" s="7" t="n">
        <v>3.62</v>
      </c>
      <c r="I554" s="7" t="n">
        <v>4.645</v>
      </c>
      <c r="J554" s="6" t="n">
        <v>0.995695839311334</v>
      </c>
    </row>
    <row r="555" customFormat="false" ht="15" hidden="false" customHeight="false" outlineLevel="0" collapsed="false">
      <c r="A555" s="0" t="s">
        <v>163</v>
      </c>
      <c r="B555" s="0" t="s">
        <v>234</v>
      </c>
      <c r="C555" s="0" t="s">
        <v>182</v>
      </c>
      <c r="D555" s="0" t="n">
        <v>700</v>
      </c>
      <c r="E555" s="6" t="n">
        <v>0.994285714285714</v>
      </c>
      <c r="F555" s="6" t="n">
        <v>0.985400075576777</v>
      </c>
      <c r="G555" s="6" t="n">
        <v>0.997775684423769</v>
      </c>
      <c r="H555" s="7" t="n">
        <v>3.1545</v>
      </c>
      <c r="I555" s="7" t="n">
        <v>4.247</v>
      </c>
      <c r="J555" s="6" t="n">
        <v>0.997126436781609</v>
      </c>
    </row>
    <row r="556" customFormat="false" ht="15" hidden="false" customHeight="false" outlineLevel="0" collapsed="false">
      <c r="A556" s="0" t="s">
        <v>163</v>
      </c>
      <c r="B556" s="0" t="s">
        <v>234</v>
      </c>
      <c r="C556" s="0" t="s">
        <v>183</v>
      </c>
      <c r="D556" s="0" t="n">
        <v>700</v>
      </c>
      <c r="E556" s="6" t="n">
        <v>0.991428571428571</v>
      </c>
      <c r="F556" s="6" t="n">
        <v>0.981426723313498</v>
      </c>
      <c r="G556" s="6" t="n">
        <v>0.996065939808432</v>
      </c>
      <c r="H556" s="7" t="n">
        <v>2.7395</v>
      </c>
      <c r="I556" s="7" t="n">
        <v>3.732</v>
      </c>
      <c r="J556" s="6" t="n">
        <v>0.998559077809798</v>
      </c>
    </row>
    <row r="557" customFormat="false" ht="15" hidden="false" customHeight="false" outlineLevel="0" collapsed="false">
      <c r="A557" s="0" t="s">
        <v>163</v>
      </c>
      <c r="B557" s="0" t="s">
        <v>234</v>
      </c>
      <c r="C557" s="0" t="s">
        <v>184</v>
      </c>
      <c r="D557" s="0" t="n">
        <v>2100</v>
      </c>
      <c r="E557" s="6" t="n">
        <v>0.993809523809524</v>
      </c>
      <c r="F557" s="6" t="n">
        <v>0.98943697525784</v>
      </c>
      <c r="G557" s="6" t="n">
        <v>0.996378686909883</v>
      </c>
      <c r="H557" s="7" t="n">
        <v>3.129</v>
      </c>
      <c r="I557" s="7" t="n">
        <v>4.399</v>
      </c>
      <c r="J557" s="6" t="n">
        <v>0.997125059894586</v>
      </c>
    </row>
    <row r="558" customFormat="false" ht="15" hidden="false" customHeight="false" outlineLevel="0" collapsed="false">
      <c r="A558" s="0" t="s">
        <v>163</v>
      </c>
      <c r="B558" s="0" t="s">
        <v>235</v>
      </c>
      <c r="C558" s="0" t="s">
        <v>181</v>
      </c>
      <c r="D558" s="0" t="n">
        <v>700</v>
      </c>
      <c r="E558" s="6" t="n">
        <v>0.997142857142857</v>
      </c>
      <c r="F558" s="6" t="n">
        <v>0.989642722089369</v>
      </c>
      <c r="G558" s="6" t="n">
        <v>0.999216134789793</v>
      </c>
      <c r="H558" s="7" t="n">
        <v>0.914</v>
      </c>
      <c r="I558" s="7" t="n">
        <v>1.983</v>
      </c>
      <c r="J558" s="6" t="n">
        <v>0.995702005730659</v>
      </c>
    </row>
    <row r="559" customFormat="false" ht="15" hidden="false" customHeight="false" outlineLevel="0" collapsed="false">
      <c r="A559" s="0" t="s">
        <v>163</v>
      </c>
      <c r="B559" s="0" t="s">
        <v>235</v>
      </c>
      <c r="C559" s="0" t="s">
        <v>182</v>
      </c>
      <c r="D559" s="0" t="n">
        <v>700</v>
      </c>
      <c r="E559" s="6" t="n">
        <v>1</v>
      </c>
      <c r="F559" s="6" t="n">
        <v>0.994541953757777</v>
      </c>
      <c r="G559" s="6" t="n">
        <v>1</v>
      </c>
      <c r="H559" s="7" t="n">
        <v>0.373</v>
      </c>
      <c r="I559" s="7" t="n">
        <v>1.353</v>
      </c>
      <c r="J559" s="6" t="n">
        <v>0.991428571428571</v>
      </c>
    </row>
    <row r="560" customFormat="false" ht="15" hidden="false" customHeight="false" outlineLevel="0" collapsed="false">
      <c r="A560" s="0" t="s">
        <v>163</v>
      </c>
      <c r="B560" s="0" t="s">
        <v>235</v>
      </c>
      <c r="C560" s="0" t="s">
        <v>183</v>
      </c>
      <c r="D560" s="0" t="n">
        <v>700</v>
      </c>
      <c r="E560" s="6" t="n">
        <v>0.998571428571429</v>
      </c>
      <c r="F560" s="6" t="n">
        <v>0.991952621292185</v>
      </c>
      <c r="G560" s="6" t="n">
        <v>0.999747784026285</v>
      </c>
      <c r="H560" s="7" t="n">
        <v>1.308</v>
      </c>
      <c r="I560" s="7" t="n">
        <v>2.226</v>
      </c>
      <c r="J560" s="6" t="n">
        <v>0.992846924177396</v>
      </c>
    </row>
    <row r="561" customFormat="false" ht="15" hidden="false" customHeight="false" outlineLevel="0" collapsed="false">
      <c r="A561" s="0" t="s">
        <v>163</v>
      </c>
      <c r="B561" s="0" t="s">
        <v>235</v>
      </c>
      <c r="C561" s="0" t="s">
        <v>184</v>
      </c>
      <c r="D561" s="0" t="n">
        <v>2100</v>
      </c>
      <c r="E561" s="6" t="n">
        <v>0.998571428571429</v>
      </c>
      <c r="F561" s="6" t="n">
        <v>0.995808031986912</v>
      </c>
      <c r="G561" s="6" t="n">
        <v>0.999514049295253</v>
      </c>
      <c r="H561" s="7" t="n">
        <v>0.995</v>
      </c>
      <c r="I561" s="7" t="n">
        <v>1.982</v>
      </c>
      <c r="J561" s="6" t="n">
        <v>0.993323795898903</v>
      </c>
    </row>
    <row r="562" customFormat="false" ht="15" hidden="false" customHeight="false" outlineLevel="0" collapsed="false">
      <c r="A562" s="0" t="s">
        <v>163</v>
      </c>
      <c r="B562" s="0" t="s">
        <v>236</v>
      </c>
      <c r="C562" s="0" t="s">
        <v>181</v>
      </c>
      <c r="D562" s="0" t="n">
        <v>700</v>
      </c>
      <c r="E562" s="6" t="n">
        <v>0.998571428571429</v>
      </c>
      <c r="F562" s="6" t="n">
        <v>0.991952621292185</v>
      </c>
      <c r="G562" s="6" t="n">
        <v>0.999747784026285</v>
      </c>
      <c r="H562" s="7" t="n">
        <v>1.023</v>
      </c>
      <c r="I562" s="7" t="n">
        <v>2.223</v>
      </c>
      <c r="J562" s="6" t="n">
        <v>1</v>
      </c>
    </row>
    <row r="563" customFormat="false" ht="15" hidden="false" customHeight="false" outlineLevel="0" collapsed="false">
      <c r="A563" s="0" t="s">
        <v>163</v>
      </c>
      <c r="B563" s="0" t="s">
        <v>236</v>
      </c>
      <c r="C563" s="0" t="s">
        <v>182</v>
      </c>
      <c r="D563" s="0" t="n">
        <v>700</v>
      </c>
      <c r="E563" s="6" t="n">
        <v>0.998571428571429</v>
      </c>
      <c r="F563" s="6" t="n">
        <v>0.991952621292185</v>
      </c>
      <c r="G563" s="6" t="n">
        <v>0.999747784026285</v>
      </c>
      <c r="H563" s="7" t="n">
        <v>0.486</v>
      </c>
      <c r="I563" s="7" t="n">
        <v>1.899</v>
      </c>
      <c r="J563" s="6" t="n">
        <v>1</v>
      </c>
    </row>
    <row r="564" customFormat="false" ht="15" hidden="false" customHeight="false" outlineLevel="0" collapsed="false">
      <c r="A564" s="0" t="s">
        <v>163</v>
      </c>
      <c r="B564" s="0" t="s">
        <v>236</v>
      </c>
      <c r="C564" s="0" t="s">
        <v>183</v>
      </c>
      <c r="D564" s="0" t="n">
        <v>700</v>
      </c>
      <c r="E564" s="6" t="n">
        <v>0.998571428571429</v>
      </c>
      <c r="F564" s="6" t="n">
        <v>0.991952621292185</v>
      </c>
      <c r="G564" s="6" t="n">
        <v>0.999747784026285</v>
      </c>
      <c r="H564" s="7" t="n">
        <v>1.444</v>
      </c>
      <c r="I564" s="7" t="n">
        <v>2.626</v>
      </c>
      <c r="J564" s="6" t="n">
        <v>0.998569384835479</v>
      </c>
    </row>
    <row r="565" customFormat="false" ht="15" hidden="false" customHeight="false" outlineLevel="0" collapsed="false">
      <c r="A565" s="0" t="s">
        <v>163</v>
      </c>
      <c r="B565" s="0" t="s">
        <v>236</v>
      </c>
      <c r="C565" s="0" t="s">
        <v>184</v>
      </c>
      <c r="D565" s="0" t="n">
        <v>2100</v>
      </c>
      <c r="E565" s="6" t="n">
        <v>0.998571428571429</v>
      </c>
      <c r="F565" s="6" t="n">
        <v>0.995808031986912</v>
      </c>
      <c r="G565" s="6" t="n">
        <v>0.999514049295253</v>
      </c>
      <c r="H565" s="7" t="n">
        <v>1.244</v>
      </c>
      <c r="I565" s="7" t="n">
        <v>2.388</v>
      </c>
      <c r="J565" s="6" t="n">
        <v>0.999523128278493</v>
      </c>
    </row>
    <row r="566" customFormat="false" ht="15" hidden="false" customHeight="false" outlineLevel="0" collapsed="false">
      <c r="A566" s="0" t="s">
        <v>163</v>
      </c>
      <c r="B566" s="0" t="s">
        <v>237</v>
      </c>
      <c r="C566" s="0" t="s">
        <v>181</v>
      </c>
      <c r="D566" s="0" t="n">
        <v>700</v>
      </c>
      <c r="E566" s="6" t="n">
        <v>0.992857142857143</v>
      </c>
      <c r="F566" s="6" t="n">
        <v>0.983388914848421</v>
      </c>
      <c r="G566" s="6" t="n">
        <v>0.996945296712817</v>
      </c>
      <c r="H566" s="7" t="n">
        <v>2.188</v>
      </c>
      <c r="I566" s="7" t="n">
        <v>3.209</v>
      </c>
      <c r="J566" s="6" t="n">
        <v>0.971223021582734</v>
      </c>
    </row>
    <row r="567" customFormat="false" ht="15" hidden="false" customHeight="false" outlineLevel="0" collapsed="false">
      <c r="A567" s="0" t="s">
        <v>163</v>
      </c>
      <c r="B567" s="0" t="s">
        <v>237</v>
      </c>
      <c r="C567" s="0" t="s">
        <v>182</v>
      </c>
      <c r="D567" s="0" t="n">
        <v>700</v>
      </c>
      <c r="E567" s="6" t="n">
        <v>0.991428571428571</v>
      </c>
      <c r="F567" s="6" t="n">
        <v>0.981426723313498</v>
      </c>
      <c r="G567" s="6" t="n">
        <v>0.996065939808432</v>
      </c>
      <c r="H567" s="7" t="n">
        <v>1.6895</v>
      </c>
      <c r="I567" s="7" t="n">
        <v>2.471</v>
      </c>
      <c r="J567" s="6" t="n">
        <v>0.984149855907781</v>
      </c>
    </row>
    <row r="568" customFormat="false" ht="15" hidden="false" customHeight="false" outlineLevel="0" collapsed="false">
      <c r="A568" s="0" t="s">
        <v>163</v>
      </c>
      <c r="B568" s="0" t="s">
        <v>237</v>
      </c>
      <c r="C568" s="0" t="s">
        <v>183</v>
      </c>
      <c r="D568" s="0" t="n">
        <v>700</v>
      </c>
      <c r="E568" s="6" t="n">
        <v>0.988571428571429</v>
      </c>
      <c r="F568" s="6" t="n">
        <v>0.977611666601191</v>
      </c>
      <c r="G568" s="6" t="n">
        <v>0.994197899642123</v>
      </c>
      <c r="H568" s="7" t="n">
        <v>2.526</v>
      </c>
      <c r="I568" s="7" t="n">
        <v>3.226</v>
      </c>
      <c r="J568" s="6" t="n">
        <v>0.994219653179191</v>
      </c>
    </row>
    <row r="569" customFormat="false" ht="15" hidden="false" customHeight="false" outlineLevel="0" collapsed="false">
      <c r="A569" s="0" t="s">
        <v>163</v>
      </c>
      <c r="B569" s="0" t="s">
        <v>237</v>
      </c>
      <c r="C569" s="0" t="s">
        <v>184</v>
      </c>
      <c r="D569" s="0" t="n">
        <v>2100</v>
      </c>
      <c r="E569" s="6" t="n">
        <v>0.990952380952381</v>
      </c>
      <c r="F569" s="6" t="n">
        <v>0.985911622215404</v>
      </c>
      <c r="G569" s="6" t="n">
        <v>0.994200188483652</v>
      </c>
      <c r="H569" s="7" t="n">
        <v>2.172</v>
      </c>
      <c r="I569" s="7" t="n">
        <v>3.101</v>
      </c>
      <c r="J569" s="6" t="n">
        <v>0.983181162902451</v>
      </c>
    </row>
    <row r="570" customFormat="false" ht="15" hidden="false" customHeight="false" outlineLevel="0" collapsed="false">
      <c r="A570" s="0" t="s">
        <v>163</v>
      </c>
      <c r="B570" s="0" t="s">
        <v>238</v>
      </c>
      <c r="C570" s="0" t="s">
        <v>181</v>
      </c>
      <c r="D570" s="0" t="n">
        <v>700</v>
      </c>
      <c r="E570" s="6" t="n">
        <v>0.998571428571429</v>
      </c>
      <c r="F570" s="6" t="n">
        <v>0.991952621292185</v>
      </c>
      <c r="G570" s="6" t="n">
        <v>0.999747784026285</v>
      </c>
      <c r="H570" s="7" t="n">
        <v>1.744</v>
      </c>
      <c r="I570" s="7" t="n">
        <v>3.328</v>
      </c>
      <c r="J570" s="6" t="n">
        <v>0.997138769670959</v>
      </c>
    </row>
    <row r="571" customFormat="false" ht="15" hidden="false" customHeight="false" outlineLevel="0" collapsed="false">
      <c r="A571" s="0" t="s">
        <v>163</v>
      </c>
      <c r="B571" s="0" t="s">
        <v>238</v>
      </c>
      <c r="C571" s="0" t="s">
        <v>182</v>
      </c>
      <c r="D571" s="0" t="n">
        <v>700</v>
      </c>
      <c r="E571" s="6" t="n">
        <v>0.998571428571429</v>
      </c>
      <c r="F571" s="6" t="n">
        <v>0.991952621292185</v>
      </c>
      <c r="G571" s="6" t="n">
        <v>0.999747784026285</v>
      </c>
      <c r="H571" s="7" t="n">
        <v>1.248</v>
      </c>
      <c r="I571" s="7" t="n">
        <v>2.573</v>
      </c>
      <c r="J571" s="6" t="n">
        <v>1</v>
      </c>
    </row>
    <row r="572" customFormat="false" ht="15" hidden="false" customHeight="false" outlineLevel="0" collapsed="false">
      <c r="A572" s="0" t="s">
        <v>163</v>
      </c>
      <c r="B572" s="0" t="s">
        <v>238</v>
      </c>
      <c r="C572" s="0" t="s">
        <v>183</v>
      </c>
      <c r="D572" s="0" t="n">
        <v>700</v>
      </c>
      <c r="E572" s="6" t="n">
        <v>0.995714285714286</v>
      </c>
      <c r="F572" s="6" t="n">
        <v>0.987475859383073</v>
      </c>
      <c r="G572" s="6" t="n">
        <v>0.99854144905678</v>
      </c>
      <c r="H572" s="7" t="n">
        <v>0.829</v>
      </c>
      <c r="I572" s="7" t="n">
        <v>2.406</v>
      </c>
      <c r="J572" s="6" t="n">
        <v>1</v>
      </c>
    </row>
    <row r="573" customFormat="false" ht="15" hidden="false" customHeight="false" outlineLevel="0" collapsed="false">
      <c r="A573" s="0" t="s">
        <v>163</v>
      </c>
      <c r="B573" s="0" t="s">
        <v>238</v>
      </c>
      <c r="C573" s="0" t="s">
        <v>184</v>
      </c>
      <c r="D573" s="0" t="n">
        <v>2100</v>
      </c>
      <c r="E573" s="6" t="n">
        <v>0.997619047619048</v>
      </c>
      <c r="F573" s="6" t="n">
        <v>0.994438198537809</v>
      </c>
      <c r="G573" s="6" t="n">
        <v>0.998982598921468</v>
      </c>
      <c r="H573" s="7" t="n">
        <v>1.369</v>
      </c>
      <c r="I573" s="7" t="n">
        <v>2.792</v>
      </c>
      <c r="J573" s="6" t="n">
        <v>0.999045346062053</v>
      </c>
    </row>
    <row r="574" customFormat="false" ht="15" hidden="false" customHeight="false" outlineLevel="0" collapsed="false">
      <c r="A574" s="0" t="s">
        <v>163</v>
      </c>
      <c r="B574" s="0" t="s">
        <v>239</v>
      </c>
      <c r="C574" s="0" t="s">
        <v>181</v>
      </c>
      <c r="D574" s="0" t="n">
        <v>700</v>
      </c>
      <c r="E574" s="6" t="n">
        <v>0.998571428571429</v>
      </c>
      <c r="F574" s="6" t="n">
        <v>0.991952621292185</v>
      </c>
      <c r="G574" s="6" t="n">
        <v>0.999747784026285</v>
      </c>
      <c r="H574" s="7" t="n">
        <v>1.576</v>
      </c>
      <c r="I574" s="7" t="n">
        <v>3.599</v>
      </c>
      <c r="J574" s="6" t="n">
        <v>1</v>
      </c>
    </row>
    <row r="575" customFormat="false" ht="15" hidden="false" customHeight="false" outlineLevel="0" collapsed="false">
      <c r="A575" s="0" t="s">
        <v>163</v>
      </c>
      <c r="B575" s="0" t="s">
        <v>239</v>
      </c>
      <c r="C575" s="0" t="s">
        <v>182</v>
      </c>
      <c r="D575" s="0" t="n">
        <v>700</v>
      </c>
      <c r="E575" s="6" t="n">
        <v>1</v>
      </c>
      <c r="F575" s="6" t="n">
        <v>0.994541953757777</v>
      </c>
      <c r="G575" s="6" t="n">
        <v>1</v>
      </c>
      <c r="H575" s="7" t="n">
        <v>1.187</v>
      </c>
      <c r="I575" s="7" t="n">
        <v>3.439</v>
      </c>
      <c r="J575" s="6" t="n">
        <v>1</v>
      </c>
    </row>
    <row r="576" customFormat="false" ht="15" hidden="false" customHeight="false" outlineLevel="0" collapsed="false">
      <c r="A576" s="0" t="s">
        <v>163</v>
      </c>
      <c r="B576" s="0" t="s">
        <v>239</v>
      </c>
      <c r="C576" s="0" t="s">
        <v>183</v>
      </c>
      <c r="D576" s="0" t="n">
        <v>700</v>
      </c>
      <c r="E576" s="6" t="n">
        <v>0.992857142857143</v>
      </c>
      <c r="F576" s="6" t="n">
        <v>0.983388914848421</v>
      </c>
      <c r="G576" s="6" t="n">
        <v>0.996945296712817</v>
      </c>
      <c r="H576" s="7" t="n">
        <v>0.668</v>
      </c>
      <c r="I576" s="7" t="n">
        <v>2.752</v>
      </c>
      <c r="J576" s="6" t="n">
        <v>1</v>
      </c>
    </row>
    <row r="577" customFormat="false" ht="15" hidden="false" customHeight="false" outlineLevel="0" collapsed="false">
      <c r="A577" s="0" t="s">
        <v>163</v>
      </c>
      <c r="B577" s="0" t="s">
        <v>239</v>
      </c>
      <c r="C577" s="0" t="s">
        <v>184</v>
      </c>
      <c r="D577" s="0" t="n">
        <v>2100</v>
      </c>
      <c r="E577" s="6" t="n">
        <v>0.997142857142857</v>
      </c>
      <c r="F577" s="6" t="n">
        <v>0.993780229483795</v>
      </c>
      <c r="G577" s="6" t="n">
        <v>0.998689926064037</v>
      </c>
      <c r="H577" s="7" t="n">
        <v>1.4</v>
      </c>
      <c r="I577" s="7" t="n">
        <v>3.447</v>
      </c>
      <c r="J577" s="6"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3" min="2" style="0" width="9"/>
  </cols>
  <sheetData>
    <row r="1" customFormat="false" ht="15" hidden="false" customHeight="false" outlineLevel="0" collapsed="false">
      <c r="A1" s="1" t="s">
        <v>240</v>
      </c>
    </row>
    <row r="3" customFormat="false" ht="45" hidden="false" customHeight="true" outlineLevel="0" collapsed="false">
      <c r="A3" s="2" t="s">
        <v>1</v>
      </c>
      <c r="B3" s="2" t="s">
        <v>228</v>
      </c>
      <c r="C3" s="2" t="s">
        <v>229</v>
      </c>
      <c r="D3" s="2" t="s">
        <v>230</v>
      </c>
      <c r="E3" s="2" t="s">
        <v>231</v>
      </c>
      <c r="F3" s="2" t="s">
        <v>232</v>
      </c>
      <c r="G3" s="2" t="s">
        <v>233</v>
      </c>
      <c r="H3" s="2" t="s">
        <v>234</v>
      </c>
      <c r="I3" s="2" t="s">
        <v>235</v>
      </c>
      <c r="J3" s="2" t="s">
        <v>236</v>
      </c>
      <c r="K3" s="2" t="s">
        <v>237</v>
      </c>
      <c r="L3" s="2" t="s">
        <v>238</v>
      </c>
      <c r="M3" s="2" t="s">
        <v>239</v>
      </c>
    </row>
    <row r="4" customFormat="false" ht="15" hidden="false" customHeight="false" outlineLevel="0" collapsed="false">
      <c r="A4" s="0" t="s">
        <v>18</v>
      </c>
      <c r="B4" s="6" t="n">
        <v>0.993333333333333</v>
      </c>
      <c r="C4" s="6" t="n">
        <v>0.998095238095238</v>
      </c>
      <c r="D4" s="6" t="n">
        <v>0.997619047619048</v>
      </c>
      <c r="E4" s="6" t="n">
        <v>0.99952380952381</v>
      </c>
      <c r="F4" s="6" t="n">
        <v>1</v>
      </c>
      <c r="G4" s="6" t="n">
        <v>0.999047619047619</v>
      </c>
      <c r="H4" s="6" t="n">
        <v>0.993809523809524</v>
      </c>
      <c r="I4" s="6" t="n">
        <v>0.99952380952381</v>
      </c>
      <c r="J4" s="6" t="n">
        <v>0.998571428571429</v>
      </c>
      <c r="K4" s="6" t="n">
        <v>0.988571428571429</v>
      </c>
      <c r="L4" s="6" t="n">
        <v>0.998571428571429</v>
      </c>
      <c r="M4" s="6" t="n">
        <v>0.997619047619048</v>
      </c>
    </row>
    <row r="5" customFormat="false" ht="15" hidden="false" customHeight="false" outlineLevel="0" collapsed="false">
      <c r="A5" s="0" t="s">
        <v>33</v>
      </c>
      <c r="B5" s="6" t="n">
        <v>0.985714285714286</v>
      </c>
      <c r="C5" s="6" t="n">
        <v>0.991428571428571</v>
      </c>
      <c r="D5" s="6" t="n">
        <v>0.988095238095238</v>
      </c>
      <c r="E5" s="6" t="n">
        <v>0.99</v>
      </c>
      <c r="F5" s="6" t="n">
        <v>0.990476190476191</v>
      </c>
      <c r="G5" s="6" t="n">
        <v>0.989047619047619</v>
      </c>
      <c r="H5" s="6" t="n">
        <v>0.9</v>
      </c>
      <c r="I5" s="6" t="n">
        <v>0.985238095238095</v>
      </c>
      <c r="J5" s="6" t="n">
        <v>0.988571428571429</v>
      </c>
      <c r="K5" s="6" t="n">
        <v>0.98</v>
      </c>
      <c r="L5" s="6" t="n">
        <v>0.987619047619048</v>
      </c>
      <c r="M5" s="6" t="n">
        <v>0.987142857142857</v>
      </c>
    </row>
    <row r="6" customFormat="false" ht="15" hidden="false" customHeight="false" outlineLevel="0" collapsed="false">
      <c r="A6" s="0" t="s">
        <v>48</v>
      </c>
      <c r="B6" s="6" t="n">
        <v>0.998571428571429</v>
      </c>
      <c r="C6" s="6" t="n">
        <v>0.999047619047619</v>
      </c>
      <c r="D6" s="6" t="n">
        <v>0.99952380952381</v>
      </c>
      <c r="E6" s="6" t="n">
        <v>0.99952380952381</v>
      </c>
      <c r="F6" s="6" t="n">
        <v>1</v>
      </c>
      <c r="G6" s="6" t="n">
        <v>0.998571428571429</v>
      </c>
      <c r="H6" s="6" t="n">
        <v>0.996666666666667</v>
      </c>
      <c r="I6" s="6" t="n">
        <v>0.99952380952381</v>
      </c>
      <c r="J6" s="6" t="n">
        <v>1</v>
      </c>
      <c r="K6" s="6" t="n">
        <v>0.99952380952381</v>
      </c>
      <c r="L6" s="6" t="n">
        <v>1</v>
      </c>
      <c r="M6" s="6" t="n">
        <v>0.99952380952381</v>
      </c>
    </row>
    <row r="7" customFormat="false" ht="15" hidden="false" customHeight="false" outlineLevel="0" collapsed="false">
      <c r="A7" s="0" t="s">
        <v>63</v>
      </c>
      <c r="B7" s="6" t="n">
        <v>0.99952380952381</v>
      </c>
      <c r="C7" s="6" t="n">
        <v>0.996666666666667</v>
      </c>
      <c r="D7" s="6" t="n">
        <v>0.998571428571429</v>
      </c>
      <c r="E7" s="6" t="n">
        <v>0.996666666666667</v>
      </c>
      <c r="F7" s="6" t="n">
        <v>0.999047619047619</v>
      </c>
      <c r="G7" s="6" t="n">
        <v>0.996666666666667</v>
      </c>
      <c r="H7" s="6" t="n">
        <v>0.997142857142857</v>
      </c>
      <c r="I7" s="6" t="n">
        <v>0.99952380952381</v>
      </c>
      <c r="J7" s="6" t="n">
        <v>0.991428571428571</v>
      </c>
      <c r="K7" s="6" t="n">
        <v>0.995714285714286</v>
      </c>
      <c r="L7" s="6" t="n">
        <v>0.997619047619048</v>
      </c>
      <c r="M7" s="6" t="n">
        <v>0.996190476190476</v>
      </c>
    </row>
    <row r="8" customFormat="false" ht="15" hidden="false" customHeight="false" outlineLevel="0" collapsed="false">
      <c r="A8" s="0" t="s">
        <v>77</v>
      </c>
      <c r="B8" s="6" t="n">
        <v>1</v>
      </c>
      <c r="C8" s="6" t="n">
        <v>0.995714285714286</v>
      </c>
      <c r="D8" s="6" t="n">
        <v>0.995714285714286</v>
      </c>
      <c r="E8" s="6" t="n">
        <v>0.997142857142857</v>
      </c>
      <c r="F8" s="6" t="n">
        <v>0.995714285714286</v>
      </c>
      <c r="G8" s="6" t="n">
        <v>0.999047619047619</v>
      </c>
      <c r="H8" s="6" t="n">
        <v>0.991904761904762</v>
      </c>
      <c r="I8" s="6" t="n">
        <v>0.98952380952381</v>
      </c>
      <c r="J8" s="6" t="n">
        <v>0.998095238095238</v>
      </c>
      <c r="K8" s="6" t="n">
        <v>0.998571428571429</v>
      </c>
      <c r="L8" s="6" t="n">
        <v>0.994761904761905</v>
      </c>
      <c r="M8" s="6" t="n">
        <v>0.991904761904762</v>
      </c>
    </row>
    <row r="9" customFormat="false" ht="15" hidden="false" customHeight="false" outlineLevel="0" collapsed="false">
      <c r="A9" s="0" t="s">
        <v>91</v>
      </c>
      <c r="B9" s="6" t="n">
        <v>0.995714285714286</v>
      </c>
      <c r="C9" s="6" t="n">
        <v>0.998095238095238</v>
      </c>
      <c r="D9" s="6" t="n">
        <v>1</v>
      </c>
      <c r="E9" s="6" t="n">
        <v>0.999047619047619</v>
      </c>
      <c r="F9" s="6" t="n">
        <v>0.99952380952381</v>
      </c>
      <c r="G9" s="6" t="n">
        <v>0.997619047619048</v>
      </c>
      <c r="H9" s="6" t="n">
        <v>0.995714285714286</v>
      </c>
      <c r="I9" s="6" t="n">
        <v>0.998095238095238</v>
      </c>
      <c r="J9" s="6" t="n">
        <v>0.991428571428571</v>
      </c>
      <c r="K9" s="6" t="n">
        <v>0.976666666666667</v>
      </c>
      <c r="L9" s="6" t="n">
        <v>0.998095238095238</v>
      </c>
      <c r="M9" s="6" t="n">
        <v>0.998571428571429</v>
      </c>
    </row>
    <row r="10" customFormat="false" ht="15" hidden="false" customHeight="false" outlineLevel="0" collapsed="false">
      <c r="A10" s="0" t="s">
        <v>102</v>
      </c>
      <c r="B10" s="6" t="n">
        <v>0.996666666666667</v>
      </c>
      <c r="C10" s="6" t="n">
        <v>0.996666666666667</v>
      </c>
      <c r="D10" s="6" t="n">
        <v>0.998571428571429</v>
      </c>
      <c r="E10" s="6" t="n">
        <v>0.999047619047619</v>
      </c>
      <c r="F10" s="6" t="n">
        <v>0.999047619047619</v>
      </c>
      <c r="G10" s="6" t="n">
        <v>0.99952380952381</v>
      </c>
      <c r="H10" s="6" t="n">
        <v>0.99952380952381</v>
      </c>
      <c r="I10" s="6" t="n">
        <v>0.99952380952381</v>
      </c>
      <c r="J10" s="6" t="n">
        <v>0.995238095238095</v>
      </c>
      <c r="K10" s="6" t="n">
        <v>0.998095238095238</v>
      </c>
      <c r="L10" s="6" t="n">
        <v>0.998095238095238</v>
      </c>
      <c r="M10" s="6" t="n">
        <v>0.997142857142857</v>
      </c>
    </row>
    <row r="11" customFormat="false" ht="15" hidden="false" customHeight="false" outlineLevel="0" collapsed="false">
      <c r="A11" s="0" t="s">
        <v>115</v>
      </c>
      <c r="B11" s="6" t="n">
        <v>0.988571428571429</v>
      </c>
      <c r="C11" s="6" t="n">
        <v>0.996666666666667</v>
      </c>
      <c r="D11" s="6" t="n">
        <v>0.998095238095238</v>
      </c>
      <c r="E11" s="6" t="n">
        <v>0.996190476190476</v>
      </c>
      <c r="F11" s="6" t="n">
        <v>0.99952380952381</v>
      </c>
      <c r="G11" s="6" t="n">
        <v>0.995714285714286</v>
      </c>
      <c r="H11" s="6" t="n">
        <v>0.999047619047619</v>
      </c>
      <c r="I11" s="6" t="n">
        <v>0.997619047619048</v>
      </c>
      <c r="J11" s="6" t="n">
        <v>0.994285714285714</v>
      </c>
      <c r="K11" s="6" t="n">
        <v>0.990476190476191</v>
      </c>
      <c r="L11" s="6" t="n">
        <v>0.997142857142857</v>
      </c>
      <c r="M11" s="6" t="n">
        <v>0.998095238095238</v>
      </c>
    </row>
    <row r="12" customFormat="false" ht="15" hidden="false" customHeight="false" outlineLevel="0" collapsed="false">
      <c r="A12" s="0" t="s">
        <v>129</v>
      </c>
      <c r="B12" s="6" t="n">
        <v>0.998571428571429</v>
      </c>
      <c r="C12" s="6" t="n">
        <v>0.999047619047619</v>
      </c>
      <c r="D12" s="6" t="n">
        <v>1</v>
      </c>
      <c r="E12" s="6" t="n">
        <v>1</v>
      </c>
      <c r="F12" s="6" t="n">
        <v>1</v>
      </c>
      <c r="G12" s="6" t="n">
        <v>1</v>
      </c>
      <c r="H12" s="6" t="n">
        <v>0.997619047619048</v>
      </c>
      <c r="I12" s="6" t="n">
        <v>1</v>
      </c>
      <c r="J12" s="6" t="n">
        <v>0.99952380952381</v>
      </c>
      <c r="K12" s="6" t="n">
        <v>0.99952380952381</v>
      </c>
      <c r="L12" s="6" t="n">
        <v>0.99952380952381</v>
      </c>
      <c r="M12" s="6" t="n">
        <v>0.998571428571429</v>
      </c>
    </row>
    <row r="13" customFormat="false" ht="15" hidden="false" customHeight="false" outlineLevel="0" collapsed="false">
      <c r="A13" s="0" t="s">
        <v>141</v>
      </c>
      <c r="B13" s="6" t="n">
        <v>0.99952380952381</v>
      </c>
      <c r="C13" s="6" t="n">
        <v>0.99952380952381</v>
      </c>
      <c r="D13" s="6" t="n">
        <v>0.999047619047619</v>
      </c>
      <c r="E13" s="6" t="n">
        <v>0.998571428571429</v>
      </c>
      <c r="F13" s="6" t="n">
        <v>0.99952380952381</v>
      </c>
      <c r="G13" s="6" t="n">
        <v>0.998095238095238</v>
      </c>
      <c r="H13" s="6" t="n">
        <v>0.996666666666667</v>
      </c>
      <c r="I13" s="6" t="n">
        <v>0.998571428571429</v>
      </c>
      <c r="J13" s="6" t="n">
        <v>0.998095238095238</v>
      </c>
      <c r="K13" s="6" t="n">
        <v>0.99952380952381</v>
      </c>
      <c r="L13" s="6" t="n">
        <v>0.996190476190476</v>
      </c>
      <c r="M13" s="6" t="n">
        <v>0.999047619047619</v>
      </c>
    </row>
    <row r="14" customFormat="false" ht="15" hidden="false" customHeight="false" outlineLevel="0" collapsed="false">
      <c r="A14" s="0" t="s">
        <v>152</v>
      </c>
      <c r="B14" s="6" t="n">
        <v>0.97952380952381</v>
      </c>
      <c r="C14" s="6" t="n">
        <v>0.984285714285714</v>
      </c>
      <c r="D14" s="6" t="n">
        <v>0.984285714285714</v>
      </c>
      <c r="E14" s="6" t="n">
        <v>0.98952380952381</v>
      </c>
      <c r="F14" s="6" t="n">
        <v>0.972380952380952</v>
      </c>
      <c r="G14" s="6" t="n">
        <v>0.961428571428571</v>
      </c>
      <c r="H14" s="6" t="n">
        <v>0.945714285714286</v>
      </c>
      <c r="I14" s="6" t="n">
        <v>0.965714285714286</v>
      </c>
      <c r="J14" s="6" t="n">
        <v>0.976666666666667</v>
      </c>
      <c r="K14" s="6" t="n">
        <v>0.963333333333333</v>
      </c>
      <c r="L14" s="6" t="n">
        <v>0.959047619047619</v>
      </c>
      <c r="M14" s="6" t="n">
        <v>0.965238095238095</v>
      </c>
    </row>
    <row r="15" customFormat="false" ht="15" hidden="false" customHeight="false" outlineLevel="0" collapsed="false">
      <c r="A15" s="0" t="s">
        <v>163</v>
      </c>
      <c r="B15" s="6" t="n">
        <v>0.988571428571429</v>
      </c>
      <c r="C15" s="6" t="n">
        <v>0.989047619047619</v>
      </c>
      <c r="D15" s="6" t="n">
        <v>0.997142857142857</v>
      </c>
      <c r="E15" s="6" t="n">
        <v>0.993333333333333</v>
      </c>
      <c r="F15" s="6" t="n">
        <v>0.996666666666667</v>
      </c>
      <c r="G15" s="6" t="n">
        <v>0.993333333333333</v>
      </c>
      <c r="H15" s="6" t="n">
        <v>0.993809523809524</v>
      </c>
      <c r="I15" s="6" t="n">
        <v>0.998571428571429</v>
      </c>
      <c r="J15" s="6" t="n">
        <v>0.998571428571429</v>
      </c>
      <c r="K15" s="6" t="n">
        <v>0.990952380952381</v>
      </c>
      <c r="L15" s="6" t="n">
        <v>0.997619047619048</v>
      </c>
      <c r="M15" s="6" t="n">
        <v>0.997142857142857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34"/>
    <col collapsed="false" customWidth="true" hidden="false" outlineLevel="0" max="7" min="4" style="0" width="16"/>
    <col collapsed="false" customWidth="true" hidden="false" outlineLevel="0" max="8" min="8" style="0" width="46"/>
    <col collapsed="false" customWidth="true" hidden="false" outlineLevel="0" max="19" min="9" style="0" width="16"/>
  </cols>
  <sheetData>
    <row r="1" customFormat="false" ht="15" hidden="false" customHeight="false" outlineLevel="0" collapsed="false">
      <c r="A1" s="1" t="s">
        <v>241</v>
      </c>
    </row>
    <row r="2" customFormat="false" ht="15" hidden="false" customHeight="false" outlineLevel="0" collapsed="false">
      <c r="A2" s="9" t="s">
        <v>242</v>
      </c>
      <c r="B2" s="0" t="n">
        <v>6000</v>
      </c>
      <c r="C2" s="0" t="n">
        <v>8000</v>
      </c>
      <c r="D2" s="0" t="n">
        <v>0.185</v>
      </c>
    </row>
    <row r="3" customFormat="false" ht="15" hidden="false" customHeight="false" outlineLevel="0" collapsed="false">
      <c r="B3" s="0" t="s">
        <v>243</v>
      </c>
      <c r="C3" s="0" t="s">
        <v>244</v>
      </c>
      <c r="D3" s="0" t="s">
        <v>245</v>
      </c>
    </row>
    <row r="5" customFormat="false" ht="48" hidden="false" customHeight="true" outlineLevel="0" collapsed="false">
      <c r="A5" s="2" t="s">
        <v>1</v>
      </c>
      <c r="B5" s="2" t="s">
        <v>246</v>
      </c>
      <c r="C5" s="2" t="s">
        <v>247</v>
      </c>
      <c r="D5" s="2" t="s">
        <v>248</v>
      </c>
      <c r="E5" s="2" t="s">
        <v>249</v>
      </c>
      <c r="F5" s="2" t="s">
        <v>250</v>
      </c>
      <c r="G5" s="2" t="s">
        <v>251</v>
      </c>
      <c r="H5" s="2" t="s">
        <v>252</v>
      </c>
      <c r="I5" s="2" t="s">
        <v>253</v>
      </c>
      <c r="J5" s="2" t="s">
        <v>254</v>
      </c>
      <c r="K5" s="2" t="s">
        <v>255</v>
      </c>
      <c r="L5" s="2" t="s">
        <v>256</v>
      </c>
      <c r="M5" s="2" t="s">
        <v>257</v>
      </c>
      <c r="N5" s="2" t="s">
        <v>258</v>
      </c>
      <c r="O5" s="2" t="s">
        <v>259</v>
      </c>
      <c r="P5" s="2" t="s">
        <v>260</v>
      </c>
      <c r="Q5" s="2" t="s">
        <v>261</v>
      </c>
      <c r="R5" s="2" t="s">
        <v>262</v>
      </c>
      <c r="S5" s="2" t="s">
        <v>263</v>
      </c>
    </row>
    <row r="6" customFormat="false" ht="15" hidden="false" customHeight="false" outlineLevel="0" collapsed="false">
      <c r="A6" s="0" t="s">
        <v>18</v>
      </c>
      <c r="B6" s="0" t="n">
        <v>1</v>
      </c>
      <c r="C6" s="0" t="s">
        <v>264</v>
      </c>
      <c r="D6" s="0" t="n">
        <v>25200</v>
      </c>
      <c r="E6" s="0" t="n">
        <v>25125</v>
      </c>
      <c r="F6" s="0" t="n">
        <v>213.6</v>
      </c>
      <c r="G6" s="10" t="n">
        <f aca="false">IF(E6=0,"",B6*(D6*(F6+$B$2)/1000000000)/E6*1000)</f>
        <v>0.00623214805970149</v>
      </c>
      <c r="H6" s="0" t="str">
        <f aca="false">IF(E6=0,"",IF(ISNUMBER(S6),"measured "&amp;TEXT(S6,"0.000")&amp;" $ per 1000 successful (all tests, panel counters); ","")&amp;"est. split per 1000 successful: Infra "&amp;TEXT(G6,"0.0000")&amp;IF(ISNUMBER(L6),"; Wikipedia "&amp;TEXT(L6,"0.000")&amp;", Amazon "&amp;IF(ISNUMBER(P6),TEXT(P6,"0.000"),"-"),""))</f>
        <v>measured 0.020 $ per 1000 successful (all tests, panel counters); est. split per 1000 successful: Infra 0.0062; Wikipedia 0.067, Amazon 0.354</v>
      </c>
      <c r="I6" s="0" t="n">
        <v>5040</v>
      </c>
      <c r="J6" s="0" t="n">
        <v>5021</v>
      </c>
      <c r="K6" s="0" t="n">
        <v>316141</v>
      </c>
      <c r="L6" s="10" t="n">
        <f aca="false">IF(J6=0,"",B6*(I6*(K6*$D$2+$C$2)/1000000000)/J6*1000)</f>
        <v>0.0667376754431388</v>
      </c>
      <c r="M6" s="0" t="n">
        <v>1890</v>
      </c>
      <c r="N6" s="0" t="n">
        <v>904</v>
      </c>
      <c r="O6" s="0" t="n">
        <v>872212</v>
      </c>
      <c r="P6" s="10" t="n">
        <f aca="false">IF(N6=0,"",B6*(M6*(O6*$D$2+$C$2)/1000000000)/N6*1000)</f>
        <v>0.354080670132743</v>
      </c>
      <c r="Q6" s="0" t="n">
        <v>850</v>
      </c>
      <c r="R6" s="0" t="n">
        <v>42938</v>
      </c>
      <c r="S6" s="10" t="n">
        <f aca="false">IF(R6=0,"",B6*(Q6/1000)/R6*1000)</f>
        <v>0.0197959849084727</v>
      </c>
    </row>
    <row r="7" customFormat="false" ht="15" hidden="false" customHeight="false" outlineLevel="0" collapsed="false">
      <c r="A7" s="0" t="s">
        <v>33</v>
      </c>
      <c r="B7" s="0" t="n">
        <v>1</v>
      </c>
      <c r="C7" s="0" t="s">
        <v>265</v>
      </c>
      <c r="D7" s="0" t="n">
        <v>25200</v>
      </c>
      <c r="E7" s="0" t="n">
        <v>24703</v>
      </c>
      <c r="F7" s="0" t="n">
        <v>216.7</v>
      </c>
      <c r="G7" s="10" t="n">
        <f aca="false">IF(E7=0,"",B7*(D7*(F7+$B$2)/1000000000)/E7*1000)</f>
        <v>0.00634177387361859</v>
      </c>
      <c r="H7" s="0" t="str">
        <f aca="false">IF(E7=0,"",IF(ISNUMBER(S7),"measured "&amp;TEXT(S7,"0.000")&amp;" $ per 1000 successful (all tests, panel counters); ","")&amp;"est. split per 1000 successful: Infra "&amp;TEXT(G7,"0.0000")&amp;IF(ISNUMBER(L7),"; Wikipedia "&amp;TEXT(L7,"0.000")&amp;", Amazon "&amp;IF(ISNUMBER(P7),TEXT(P7,"0.000"),"-"),""))</f>
        <v>measured 0.019 $ per 1000 successful (all tests, panel counters); est. split per 1000 successful: Infra 0.0063; Wikipedia 0.067, Amazon 0.375</v>
      </c>
      <c r="I7" s="0" t="n">
        <v>5040</v>
      </c>
      <c r="J7" s="0" t="n">
        <v>4967</v>
      </c>
      <c r="K7" s="0" t="n">
        <v>312744</v>
      </c>
      <c r="L7" s="10" t="n">
        <f aca="false">IF(J7=0,"",B7*(I7*(K7*$D$2+$C$2)/1000000000)/J7*1000)</f>
        <v>0.066825549748339</v>
      </c>
      <c r="M7" s="0" t="n">
        <v>1890</v>
      </c>
      <c r="N7" s="0" t="n">
        <v>934</v>
      </c>
      <c r="O7" s="0" t="n">
        <v>959352</v>
      </c>
      <c r="P7" s="10" t="n">
        <f aca="false">IF(N7=0,"",B7*(M7*(O7*$D$2+$C$2)/1000000000)/N7*1000)</f>
        <v>0.375329150749465</v>
      </c>
      <c r="Q7" s="0" t="n">
        <v>794.3</v>
      </c>
      <c r="R7" s="0" t="n">
        <v>42634</v>
      </c>
      <c r="S7" s="10" t="n">
        <f aca="false">IF(R7=0,"",B7*(Q7/1000)/R7*1000)</f>
        <v>0.0186306703569921</v>
      </c>
    </row>
    <row r="8" customFormat="false" ht="15" hidden="false" customHeight="false" outlineLevel="0" collapsed="false">
      <c r="A8" s="0" t="s">
        <v>48</v>
      </c>
      <c r="B8" s="0" t="n">
        <v>6</v>
      </c>
      <c r="C8" s="0" t="s">
        <v>266</v>
      </c>
      <c r="D8" s="0" t="n">
        <v>25200</v>
      </c>
      <c r="E8" s="0" t="n">
        <v>25180</v>
      </c>
      <c r="F8" s="0" t="n">
        <v>212.6</v>
      </c>
      <c r="G8" s="10" t="n">
        <f aca="false">IF(E8=0,"",B8*(D8*(F8+$B$2)/1000000000)/E8*1000)</f>
        <v>0.0373052073073868</v>
      </c>
      <c r="H8" s="0" t="str">
        <f aca="false">IF(E8=0,"",IF(ISNUMBER(S8),"measured "&amp;TEXT(S8,"0.000")&amp;" $ per 1000 successful (all tests, panel counters); ","")&amp;"est. split per 1000 successful: Infra "&amp;TEXT(G8,"0.0000")&amp;IF(ISNUMBER(L8),"; Wikipedia "&amp;TEXT(L8,"0.000")&amp;", Amazon "&amp;IF(ISNUMBER(P8),TEXT(P8,"0.000"),"-"),""))</f>
        <v>measured 0.124 $ per 1000 successful (all tests, panel counters); est. split per 1000 successful: Infra 0.0373; Wikipedia 0.400, Amazon 2.184</v>
      </c>
      <c r="I8" s="0" t="n">
        <v>5040</v>
      </c>
      <c r="J8" s="0" t="n">
        <v>5030</v>
      </c>
      <c r="K8" s="0" t="n">
        <v>316711</v>
      </c>
      <c r="L8" s="10" t="n">
        <f aca="false">IF(J8=0,"",B8*(I8*(K8*$D$2+$C$2)/1000000000)/J8*1000)</f>
        <v>0.400343542425447</v>
      </c>
      <c r="M8" s="0" t="n">
        <v>1890</v>
      </c>
      <c r="N8" s="0" t="n">
        <v>1046</v>
      </c>
      <c r="O8" s="0" t="n">
        <v>1045881</v>
      </c>
      <c r="P8" s="10" t="n">
        <f aca="false">IF(N8=0,"",B8*(M8*(O8*$D$2+$C$2)/1000000000)/N8*1000)</f>
        <v>2.18439173030593</v>
      </c>
      <c r="Q8" s="0" t="n">
        <v>860.11</v>
      </c>
      <c r="R8" s="0" t="n">
        <v>41573</v>
      </c>
      <c r="S8" s="10" t="n">
        <f aca="false">IF(R8=0,"",B8*(Q8/1000)/R8*1000)</f>
        <v>0.12413489524451</v>
      </c>
    </row>
    <row r="9" customFormat="false" ht="15" hidden="false" customHeight="false" outlineLevel="0" collapsed="false">
      <c r="A9" s="0" t="s">
        <v>63</v>
      </c>
      <c r="B9" s="0" t="n">
        <v>3.5</v>
      </c>
      <c r="C9" s="0" t="s">
        <v>267</v>
      </c>
      <c r="D9" s="0" t="n">
        <v>25200</v>
      </c>
      <c r="E9" s="0" t="n">
        <v>25126</v>
      </c>
      <c r="F9" s="0" t="n">
        <v>219.3</v>
      </c>
      <c r="G9" s="10" t="n">
        <f aca="false">IF(E9=0,"",B9*(D9*(F9+$B$2)/1000000000)/E9*1000)</f>
        <v>0.0218316588394492</v>
      </c>
      <c r="H9" s="0" t="str">
        <f aca="false">IF(E9=0,"",IF(ISNUMBER(S9),"measured "&amp;TEXT(S9,"0.000")&amp;" $ per 1000 successful (all tests, panel counters); ","")&amp;"est. split per 1000 successful: Infra "&amp;TEXT(G9,"0.0000")&amp;IF(ISNUMBER(L9),"; Wikipedia "&amp;TEXT(L9,"0.000")&amp;", Amazon "&amp;IF(ISNUMBER(P9),TEXT(P9,"0.000"),"-"),""))</f>
        <v>measured 0.066 $ per 1000 successful (all tests, panel counters); est. split per 1000 successful: Infra 0.0218; Wikipedia 0.234, Amazon 1.285</v>
      </c>
      <c r="I9" s="0" t="n">
        <v>5040</v>
      </c>
      <c r="J9" s="0" t="n">
        <v>5020</v>
      </c>
      <c r="K9" s="0" t="n">
        <v>316080</v>
      </c>
      <c r="L9" s="10" t="n">
        <f aca="false">IF(J9=0,"",B9*(I9*(K9*$D$2+$C$2)/1000000000)/J9*1000)</f>
        <v>0.233588739442231</v>
      </c>
      <c r="M9" s="0" t="n">
        <v>1890</v>
      </c>
      <c r="N9" s="0" t="n">
        <v>966</v>
      </c>
      <c r="O9" s="0" t="n">
        <v>971462</v>
      </c>
      <c r="P9" s="10" t="n">
        <f aca="false">IF(N9=0,"",B9*(M9*(O9*$D$2+$C$2)/1000000000)/N9*1000)</f>
        <v>1.28547713152174</v>
      </c>
      <c r="Q9" s="0" t="n">
        <v>817</v>
      </c>
      <c r="R9" s="0" t="n">
        <v>43177</v>
      </c>
      <c r="S9" s="10" t="n">
        <f aca="false">IF(R9=0,"",B9*(Q9/1000)/R9*1000)</f>
        <v>0.0662273895824166</v>
      </c>
    </row>
    <row r="10" customFormat="false" ht="15" hidden="false" customHeight="false" outlineLevel="0" collapsed="false">
      <c r="A10" s="0" t="s">
        <v>77</v>
      </c>
      <c r="B10" s="0" t="n">
        <v>2.7</v>
      </c>
      <c r="C10" s="0" t="s">
        <v>268</v>
      </c>
      <c r="D10" s="0" t="n">
        <v>25200</v>
      </c>
      <c r="E10" s="0" t="n">
        <v>25091</v>
      </c>
      <c r="F10" s="0" t="n">
        <v>211.9</v>
      </c>
      <c r="G10" s="10" t="n">
        <f aca="false">IF(E10=0,"",B10*(D10*(F10+$B$2)/1000000000)/E10*1000)</f>
        <v>0.0168449912717708</v>
      </c>
      <c r="H10" s="0" t="str">
        <f aca="false">IF(E10=0,"",IF(ISNUMBER(S10),"measured "&amp;TEXT(S10,"0.000")&amp;" $ per 1000 successful (all tests, panel counters); ","")&amp;"est. split per 1000 successful: Infra "&amp;TEXT(G10,"0.0000")&amp;IF(ISNUMBER(L10),"; Wikipedia "&amp;TEXT(L10,"0.000")&amp;", Amazon "&amp;IF(ISNUMBER(P10),TEXT(P10,"0.000"),"-"),""))</f>
        <v>measured 0.052 $ per 1000 successful (all tests, panel counters); est. split per 1000 successful: Infra 0.0168; Wikipedia 0.180, Amazon 0.986</v>
      </c>
      <c r="I10" s="0" t="n">
        <v>5040</v>
      </c>
      <c r="J10" s="0" t="n">
        <v>5010</v>
      </c>
      <c r="K10" s="0" t="n">
        <v>315452</v>
      </c>
      <c r="L10" s="10" t="n">
        <f aca="false">IF(J10=0,"",B10*(I10*(K10*$D$2+$C$2)/1000000000)/J10*1000)</f>
        <v>0.180241137916168</v>
      </c>
      <c r="M10" s="0" t="n">
        <v>1890</v>
      </c>
      <c r="N10" s="0" t="n">
        <v>1032</v>
      </c>
      <c r="O10" s="0" t="n">
        <v>1034552</v>
      </c>
      <c r="P10" s="10" t="n">
        <f aca="false">IF(N10=0,"",B10*(M10*(O10*$D$2+$C$2)/1000000000)/N10*1000)</f>
        <v>0.985947663139535</v>
      </c>
      <c r="Q10" s="0" t="n">
        <v>828.5</v>
      </c>
      <c r="R10" s="0" t="n">
        <v>42904</v>
      </c>
      <c r="S10" s="10" t="n">
        <f aca="false">IF(R10=0,"",B10*(Q10/1000)/R10*1000)</f>
        <v>0.0521384952451986</v>
      </c>
    </row>
    <row r="11" customFormat="false" ht="15" hidden="false" customHeight="false" outlineLevel="0" collapsed="false">
      <c r="A11" s="0" t="s">
        <v>91</v>
      </c>
      <c r="B11" s="0" t="n">
        <v>8.47</v>
      </c>
      <c r="C11" s="0" t="s">
        <v>269</v>
      </c>
      <c r="D11" s="0" t="n">
        <v>25200</v>
      </c>
      <c r="E11" s="0" t="n">
        <v>25092</v>
      </c>
      <c r="F11" s="0" t="n">
        <v>214.6</v>
      </c>
      <c r="G11" s="10" t="n">
        <f aca="false">IF(E11=0,"",B11*(D11*(F11+$B$2)/1000000000)/E11*1000)</f>
        <v>0.0528642229555237</v>
      </c>
      <c r="H11" s="0" t="str">
        <f aca="false">IF(E11=0,"",IF(ISNUMBER(S11),"measured "&amp;TEXT(S11,"0.000")&amp;" $ per 1000 successful (all tests, panel counters); ","")&amp;"est. split per 1000 successful: Infra "&amp;TEXT(G11,"0.0000")&amp;IF(ISNUMBER(L11),"; Wikipedia "&amp;TEXT(L11,"0.000")&amp;", Amazon "&amp;IF(ISNUMBER(P11),TEXT(P11,"0.000"),"-"),""))</f>
        <v>measured 0.166 $ per 1000 successful (all tests, panel counters); est. split per 1000 successful: Infra 0.0529; Wikipedia 0.565, Amazon 3.158</v>
      </c>
      <c r="I11" s="0" t="n">
        <v>5040</v>
      </c>
      <c r="J11" s="0" t="n">
        <v>5012</v>
      </c>
      <c r="K11" s="0" t="n">
        <v>315578</v>
      </c>
      <c r="L11" s="10" t="n">
        <f aca="false">IF(J11=0,"",B11*(I11*(K11*$D$2+$C$2)/1000000000)/J11*1000)</f>
        <v>0.565396036189944</v>
      </c>
      <c r="M11" s="0" t="n">
        <v>1890</v>
      </c>
      <c r="N11" s="0" t="n">
        <v>939</v>
      </c>
      <c r="O11" s="0" t="n">
        <v>958163</v>
      </c>
      <c r="P11" s="10" t="n">
        <f aca="false">IF(N11=0,"",B11*(M11*(O11*$D$2+$C$2)/1000000000)/N11*1000)</f>
        <v>3.15836010573642</v>
      </c>
      <c r="Q11" s="0" t="n">
        <v>842</v>
      </c>
      <c r="R11" s="0" t="n">
        <v>43037</v>
      </c>
      <c r="S11" s="10" t="n">
        <f aca="false">IF(R11=0,"",B11*(Q11/1000)/R11*1000)</f>
        <v>0.165711829356135</v>
      </c>
    </row>
    <row r="12" customFormat="false" ht="15" hidden="false" customHeight="false" outlineLevel="0" collapsed="false">
      <c r="A12" s="0" t="s">
        <v>102</v>
      </c>
      <c r="B12" s="0" t="n">
        <v>4.67</v>
      </c>
      <c r="C12" s="0" t="s">
        <v>270</v>
      </c>
      <c r="D12" s="0" t="n">
        <v>25200</v>
      </c>
      <c r="E12" s="0" t="n">
        <v>25152</v>
      </c>
      <c r="F12" s="0" t="n">
        <v>214.2</v>
      </c>
      <c r="G12" s="10" t="n">
        <f aca="false">IF(E12=0,"",B12*(D12*(F12+$B$2)/1000000000)/E12*1000)</f>
        <v>0.029075696278626</v>
      </c>
      <c r="H12" s="0" t="str">
        <f aca="false">IF(E12=0,"",IF(ISNUMBER(S12),"measured "&amp;TEXT(S12,"0.000")&amp;" $ per 1000 successful (all tests, panel counters); ","")&amp;"est. split per 1000 successful: Infra "&amp;TEXT(G12,"0.0000")&amp;IF(ISNUMBER(L12),"; Wikipedia "&amp;TEXT(L12,"0.000")&amp;", Amazon "&amp;IF(ISNUMBER(P12),TEXT(P12,"0.000"),"-"),""))</f>
        <v>measured 0.091 $ per 1000 successful (all tests, panel counters); est. split per 1000 successful: Infra 0.0291; Wikipedia 0.312, Amazon 1.743</v>
      </c>
      <c r="I12" s="0" t="n">
        <v>5040</v>
      </c>
      <c r="J12" s="0" t="n">
        <v>5022</v>
      </c>
      <c r="K12" s="0" t="n">
        <v>316207</v>
      </c>
      <c r="L12" s="10" t="n">
        <f aca="false">IF(J12=0,"",B12*(I12*(K12*$D$2+$C$2)/1000000000)/J12*1000)</f>
        <v>0.311660109469534</v>
      </c>
      <c r="M12" s="0" t="n">
        <v>1890</v>
      </c>
      <c r="N12" s="0" t="n">
        <v>935</v>
      </c>
      <c r="O12" s="0" t="n">
        <v>954948</v>
      </c>
      <c r="P12" s="10" t="n">
        <f aca="false">IF(N12=0,"",B12*(M12*(O12*$D$2+$C$2)/1000000000)/N12*1000)</f>
        <v>1.74322143689198</v>
      </c>
      <c r="Q12" s="0" t="n">
        <v>844</v>
      </c>
      <c r="R12" s="0" t="n">
        <v>43180</v>
      </c>
      <c r="S12" s="10" t="n">
        <f aca="false">IF(R12=0,"",B12*(Q12/1000)/R12*1000)</f>
        <v>0.0912802223251505</v>
      </c>
    </row>
    <row r="13" customFormat="false" ht="15" hidden="false" customHeight="false" outlineLevel="0" collapsed="false">
      <c r="A13" s="0" t="s">
        <v>115</v>
      </c>
      <c r="B13" s="0" t="n">
        <v>5</v>
      </c>
      <c r="C13" s="0" t="s">
        <v>267</v>
      </c>
      <c r="D13" s="0" t="n">
        <v>25200</v>
      </c>
      <c r="E13" s="0" t="n">
        <v>25098</v>
      </c>
      <c r="F13" s="0" t="n">
        <v>215.4</v>
      </c>
      <c r="G13" s="10" t="n">
        <f aca="false">IF(E13=0,"",B13*(D13*(F13+$B$2)/1000000000)/E13*1000)</f>
        <v>0.0312032990676548</v>
      </c>
      <c r="H13" s="0" t="str">
        <f aca="false">IF(E13=0,"",IF(ISNUMBER(S13),"measured "&amp;TEXT(S13,"0.000")&amp;" $ per 1000 successful (all tests, panel counters); ","")&amp;"est. split per 1000 successful: Infra "&amp;TEXT(G13,"0.0000")&amp;IF(ISNUMBER(L13),"; Wikipedia "&amp;TEXT(L13,"0.000")&amp;", Amazon "&amp;IF(ISNUMBER(P13),TEXT(P13,"0.000"),"-"),""))</f>
        <v>measured 0.100 $ per 1000 successful (all tests, panel counters); est. split per 1000 successful: Infra 0.0312; Wikipedia 0.334, Amazon 1.858</v>
      </c>
      <c r="I13" s="0" t="n">
        <v>5040</v>
      </c>
      <c r="J13" s="0" t="n">
        <v>5001</v>
      </c>
      <c r="K13" s="0" t="n">
        <v>314884</v>
      </c>
      <c r="L13" s="10" t="n">
        <f aca="false">IF(J13=0,"",B13*(I13*(K13*$D$2+$C$2)/1000000000)/J13*1000)</f>
        <v>0.333851071385723</v>
      </c>
      <c r="M13" s="0" t="n">
        <v>1890</v>
      </c>
      <c r="N13" s="0" t="n">
        <v>948</v>
      </c>
      <c r="O13" s="0" t="n">
        <v>964240</v>
      </c>
      <c r="P13" s="10" t="n">
        <f aca="false">IF(N13=0,"",B13*(M13*(O13*$D$2+$C$2)/1000000000)/N13*1000)</f>
        <v>1.85794575949367</v>
      </c>
      <c r="Q13" s="0" t="n">
        <v>861</v>
      </c>
      <c r="R13" s="0" t="n">
        <v>42948</v>
      </c>
      <c r="S13" s="10" t="n">
        <f aca="false">IF(R13=0,"",B13*(Q13/1000)/R13*1000)</f>
        <v>0.100237496507404</v>
      </c>
    </row>
    <row r="14" customFormat="false" ht="15" hidden="false" customHeight="false" outlineLevel="0" collapsed="false">
      <c r="A14" s="0" t="s">
        <v>129</v>
      </c>
      <c r="B14" s="0" t="n">
        <v>3.75</v>
      </c>
      <c r="C14" s="0" t="s">
        <v>268</v>
      </c>
      <c r="D14" s="0" t="n">
        <v>25200</v>
      </c>
      <c r="E14" s="0" t="n">
        <v>25184</v>
      </c>
      <c r="F14" s="0" t="n">
        <v>212.6</v>
      </c>
      <c r="G14" s="10" t="n">
        <f aca="false">IF(E14=0,"",B14*(D14*(F14+$B$2)/1000000000)/E14*1000)</f>
        <v>0.0233120513024142</v>
      </c>
      <c r="H14" s="0" t="str">
        <f aca="false">IF(E14=0,"",IF(ISNUMBER(S14),"measured "&amp;TEXT(S14,"0.000")&amp;" $ per 1000 successful (all tests, panel counters); ","")&amp;"est. split per 1000 successful: Infra "&amp;TEXT(G14,"0.0000")&amp;IF(ISNUMBER(L14),"; Wikipedia "&amp;TEXT(L14,"0.000")&amp;", Amazon "&amp;IF(ISNUMBER(P14),TEXT(P14,"0.000"),"-"),""))</f>
        <v>measured 0.077 $ per 1000 successful (all tests, panel counters); est. split per 1000 successful: Infra 0.0233; Wikipedia 0.250, Amazon 1.368</v>
      </c>
      <c r="I14" s="0" t="n">
        <v>5040</v>
      </c>
      <c r="J14" s="0" t="n">
        <v>5034</v>
      </c>
      <c r="K14" s="0" t="n">
        <v>316962</v>
      </c>
      <c r="L14" s="10" t="n">
        <f aca="false">IF(J14=0,"",B14*(I14*(K14*$D$2+$C$2)/1000000000)/J14*1000)</f>
        <v>0.250190233015495</v>
      </c>
      <c r="M14" s="0" t="n">
        <v>1890</v>
      </c>
      <c r="N14" s="0" t="n">
        <v>1028</v>
      </c>
      <c r="O14" s="0" t="n">
        <v>1029157</v>
      </c>
      <c r="P14" s="10" t="n">
        <f aca="false">IF(N14=0,"",B14*(M14*(O14*$D$2+$C$2)/1000000000)/N14*1000)</f>
        <v>1.36781886569796</v>
      </c>
      <c r="Q14" s="0" t="n">
        <v>860</v>
      </c>
      <c r="R14" s="0" t="n">
        <v>41947</v>
      </c>
      <c r="S14" s="10" t="n">
        <f aca="false">IF(R14=0,"",B14*(Q14/1000)/R14*1000)</f>
        <v>0.0768827329725606</v>
      </c>
    </row>
    <row r="15" customFormat="false" ht="15" hidden="false" customHeight="false" outlineLevel="0" collapsed="false">
      <c r="A15" s="0" t="s">
        <v>141</v>
      </c>
      <c r="B15" s="0" t="n">
        <v>1.04</v>
      </c>
      <c r="C15" s="0" t="s">
        <v>271</v>
      </c>
      <c r="D15" s="0" t="n">
        <v>25200</v>
      </c>
      <c r="E15" s="0" t="n">
        <v>25163</v>
      </c>
      <c r="F15" s="0" t="n">
        <v>211.7</v>
      </c>
      <c r="G15" s="10" t="n">
        <f aca="false">IF(E15=0,"",B15*(D15*(F15+$B$2)/1000000000)/E15*1000)</f>
        <v>0.00646966711441402</v>
      </c>
      <c r="H15" s="0" t="str">
        <f aca="false">IF(E15=0,"",IF(ISNUMBER(S15),"measured "&amp;TEXT(S15,"0.000")&amp;" $ per 1000 successful (all tests, panel counters); ","")&amp;"est. split per 1000 successful: Infra "&amp;TEXT(G15,"0.0000")&amp;IF(ISNUMBER(L15),"; Wikipedia "&amp;TEXT(L15,"0.000")&amp;", Amazon "&amp;IF(ISNUMBER(P15),TEXT(P15,"0.000"),"-"),""))</f>
        <v>measured 0.020 $ per 1000 successful (all tests, panel counters); est. split per 1000 successful: Infra 0.0065; Wikipedia 0.069, Amazon 0.384</v>
      </c>
      <c r="I15" s="0" t="n">
        <v>5040</v>
      </c>
      <c r="J15" s="0" t="n">
        <v>5027</v>
      </c>
      <c r="K15" s="0" t="n">
        <v>316509</v>
      </c>
      <c r="L15" s="10" t="n">
        <f aca="false">IF(J15=0,"",B15*(I15*(K15*$D$2+$C$2)/1000000000)/J15*1000)</f>
        <v>0.0693953274843843</v>
      </c>
      <c r="M15" s="0" t="n">
        <v>1890</v>
      </c>
      <c r="N15" s="0" t="n">
        <v>933</v>
      </c>
      <c r="O15" s="0" t="n">
        <v>941257</v>
      </c>
      <c r="P15" s="10" t="n">
        <f aca="false">IF(N15=0,"",B15*(M15*(O15*$D$2+$C$2)/1000000000)/N15*1000)</f>
        <v>0.383708178405145</v>
      </c>
      <c r="Q15" s="0" t="n">
        <v>827.11</v>
      </c>
      <c r="R15" s="0" t="n">
        <v>43182</v>
      </c>
      <c r="S15" s="10" t="n">
        <f aca="false">IF(R15=0,"",B15*(Q15/1000)/R15*1000)</f>
        <v>0.0199202074938632</v>
      </c>
    </row>
    <row r="16" customFormat="false" ht="15" hidden="false" customHeight="false" outlineLevel="0" collapsed="false">
      <c r="A16" s="0" t="s">
        <v>152</v>
      </c>
      <c r="B16" s="0" t="n">
        <v>0.79</v>
      </c>
      <c r="C16" s="0" t="s">
        <v>272</v>
      </c>
      <c r="D16" s="0" t="n">
        <v>25200</v>
      </c>
      <c r="E16" s="0" t="n">
        <v>24459</v>
      </c>
      <c r="F16" s="0" t="n">
        <v>205.9</v>
      </c>
      <c r="G16" s="10" t="n">
        <f aca="false">IF(E16=0,"",B16*(D16*(F16+$B$2)/1000000000)/E16*1000)</f>
        <v>0.0050511900404759</v>
      </c>
      <c r="H16" s="0" t="str">
        <f aca="false">IF(E16=0,"",IF(ISNUMBER(S16),"measured "&amp;TEXT(S16,"0.000")&amp;" $ per 1000 successful (all tests, panel counters); ","")&amp;"est. split per 1000 successful: Infra "&amp;TEXT(G16,"0.0000")&amp;IF(ISNUMBER(L16),"; Wikipedia "&amp;TEXT(L16,"0.000")&amp;", Amazon "&amp;IF(ISNUMBER(P16),TEXT(P16,"0.000"),"-"),""))</f>
        <v>measured 0.015 $ per 1000 successful (all tests, panel counters); est. split per 1000 successful: Infra 0.0051; Wikipedia 0.053, Amazon 0.287</v>
      </c>
      <c r="I16" s="0" t="n">
        <v>5040</v>
      </c>
      <c r="J16" s="0" t="n">
        <v>4934</v>
      </c>
      <c r="K16" s="0" t="n">
        <v>310668</v>
      </c>
      <c r="L16" s="10" t="n">
        <f aca="false">IF(J16=0,"",B16*(I16*(K16*$D$2+$C$2)/1000000000)/J16*1000)</f>
        <v>0.0528353478167815</v>
      </c>
      <c r="M16" s="0" t="n">
        <v>1890</v>
      </c>
      <c r="N16" s="0" t="n">
        <v>932</v>
      </c>
      <c r="O16" s="0" t="n">
        <v>924517</v>
      </c>
      <c r="P16" s="10" t="n">
        <f aca="false">IF(N16=0,"",B16*(M16*(O16*$D$2+$C$2)/1000000000)/N16*1000)</f>
        <v>0.286822018829936</v>
      </c>
      <c r="Q16" s="0" t="n">
        <v>822</v>
      </c>
      <c r="R16" s="0" t="n">
        <v>41938</v>
      </c>
      <c r="S16" s="10" t="n">
        <f aca="false">IF(R16=0,"",B16*(Q16/1000)/R16*1000)</f>
        <v>0.0154842863274357</v>
      </c>
    </row>
    <row r="17" customFormat="false" ht="15" hidden="false" customHeight="false" outlineLevel="0" collapsed="false">
      <c r="A17" s="0" t="s">
        <v>163</v>
      </c>
      <c r="B17" s="0" t="n">
        <v>5.31</v>
      </c>
      <c r="C17" s="0" t="s">
        <v>273</v>
      </c>
      <c r="D17" s="0" t="n">
        <v>25200</v>
      </c>
      <c r="E17" s="0" t="n">
        <v>25063</v>
      </c>
      <c r="F17" s="0" t="n">
        <v>211.1</v>
      </c>
      <c r="G17" s="10" t="n">
        <f aca="false">IF(E17=0,"",B17*(D17*(F17+$B$2)/1000000000)/E17*1000)</f>
        <v>0.0331612222479352</v>
      </c>
      <c r="H17" s="0" t="str">
        <f aca="false">IF(E17=0,"",IF(ISNUMBER(S17),"measured "&amp;TEXT(S17,"0.000")&amp;" $ per 1000 successful (all tests, panel counters); ","")&amp;"est. split per 1000 successful: Infra "&amp;TEXT(G17,"0.0000")&amp;IF(ISNUMBER(L17),"; Wikipedia "&amp;TEXT(L17,"0.000")&amp;", Amazon "&amp;IF(ISNUMBER(P17),TEXT(P17,"0.000"),"-"),""))</f>
        <v>measured 0.104 $ per 1000 successful (all tests, panel counters); est. split per 1000 successful: Infra 0.0332; Wikipedia 0.354, Amazon 1.921</v>
      </c>
      <c r="I17" s="0" t="n">
        <v>5040</v>
      </c>
      <c r="J17" s="0" t="n">
        <v>5018</v>
      </c>
      <c r="K17" s="0" t="n">
        <v>315957</v>
      </c>
      <c r="L17" s="10" t="n">
        <f aca="false">IF(J17=0,"",B17*(I17*(K17*$D$2+$C$2)/1000000000)/J17*1000)</f>
        <v>0.354407375270626</v>
      </c>
      <c r="M17" s="0" t="n">
        <v>1890</v>
      </c>
      <c r="N17" s="0" t="n">
        <v>947</v>
      </c>
      <c r="O17" s="0" t="n">
        <v>936606</v>
      </c>
      <c r="P17" s="10" t="n">
        <f aca="false">IF(N17=0,"",B17*(M17*(O17*$D$2+$C$2)/1000000000)/N17*1000)</f>
        <v>1.92104410638754</v>
      </c>
      <c r="Q17" s="0" t="n">
        <v>840</v>
      </c>
      <c r="R17" s="0" t="n">
        <v>42925</v>
      </c>
      <c r="S17" s="10" t="n">
        <f aca="false">IF(R17=0,"",B17*(Q17/1000)/R17*1000)</f>
        <v>0.103911473500291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10" min="2" style="0" width="16"/>
  </cols>
  <sheetData>
    <row r="1" customFormat="false" ht="15" hidden="false" customHeight="false" outlineLevel="0" collapsed="false">
      <c r="A1" s="1" t="s">
        <v>274</v>
      </c>
    </row>
    <row r="3" customFormat="false" ht="45" hidden="false" customHeight="true" outlineLevel="0" collapsed="false">
      <c r="A3" s="2" t="s">
        <v>1</v>
      </c>
      <c r="B3" s="2" t="s">
        <v>275</v>
      </c>
      <c r="C3" s="2" t="s">
        <v>276</v>
      </c>
      <c r="D3" s="2" t="s">
        <v>277</v>
      </c>
      <c r="E3" s="2" t="s">
        <v>278</v>
      </c>
      <c r="F3" s="2" t="s">
        <v>9</v>
      </c>
      <c r="G3" s="2" t="s">
        <v>279</v>
      </c>
      <c r="H3" s="2" t="s">
        <v>280</v>
      </c>
      <c r="I3" s="2" t="s">
        <v>281</v>
      </c>
      <c r="J3" s="2" t="s">
        <v>282</v>
      </c>
    </row>
    <row r="4" customFormat="false" ht="15" hidden="false" customHeight="false" outlineLevel="0" collapsed="false">
      <c r="A4" s="0" t="s">
        <v>18</v>
      </c>
      <c r="B4" s="0" t="n">
        <v>300</v>
      </c>
      <c r="C4" s="8" t="n">
        <v>3.29</v>
      </c>
      <c r="D4" s="8" t="n">
        <v>1</v>
      </c>
      <c r="E4" s="6" t="n">
        <v>0.00666666666666667</v>
      </c>
      <c r="F4" s="6" t="n">
        <v>0.87</v>
      </c>
      <c r="G4" s="6" t="n">
        <v>0.01</v>
      </c>
      <c r="H4" s="6" t="n">
        <v>0</v>
      </c>
      <c r="I4" s="6" t="n">
        <v>0.98</v>
      </c>
      <c r="J4" s="6" t="n">
        <v>0.996666666666667</v>
      </c>
    </row>
    <row r="5" customFormat="false" ht="15" hidden="false" customHeight="false" outlineLevel="0" collapsed="false">
      <c r="A5" s="0" t="s">
        <v>33</v>
      </c>
      <c r="B5" s="0" t="n">
        <v>300</v>
      </c>
      <c r="C5" s="8" t="n">
        <v>3.01666666666667</v>
      </c>
      <c r="D5" s="8" t="n">
        <v>1</v>
      </c>
      <c r="E5" s="6" t="n">
        <v>0.00333333333333333</v>
      </c>
      <c r="F5" s="6" t="n">
        <v>0.606666666666667</v>
      </c>
      <c r="G5" s="6" t="n">
        <v>0.00333333333333333</v>
      </c>
      <c r="H5" s="6" t="n">
        <v>0</v>
      </c>
      <c r="I5" s="6" t="n">
        <v>0.99</v>
      </c>
      <c r="J5" s="6" t="n">
        <v>0.993333333333333</v>
      </c>
    </row>
    <row r="6" customFormat="false" ht="15" hidden="false" customHeight="false" outlineLevel="0" collapsed="false">
      <c r="A6" s="0" t="s">
        <v>48</v>
      </c>
      <c r="B6" s="0" t="n">
        <v>300</v>
      </c>
      <c r="C6" s="8" t="n">
        <v>4.55333333333333</v>
      </c>
      <c r="D6" s="8" t="n">
        <v>1</v>
      </c>
      <c r="E6" s="6" t="n">
        <v>0.0133333333333333</v>
      </c>
      <c r="F6" s="6" t="n">
        <v>0.803333333333333</v>
      </c>
      <c r="G6" s="6" t="n">
        <v>0.00666666666666667</v>
      </c>
      <c r="H6" s="6" t="n">
        <v>0</v>
      </c>
      <c r="I6" s="6" t="n">
        <v>0.993333333333333</v>
      </c>
      <c r="J6" s="6" t="n">
        <v>1</v>
      </c>
    </row>
    <row r="7" customFormat="false" ht="15" hidden="false" customHeight="false" outlineLevel="0" collapsed="false">
      <c r="A7" s="0" t="s">
        <v>63</v>
      </c>
      <c r="B7" s="0" t="n">
        <v>300</v>
      </c>
      <c r="C7" s="8" t="n">
        <v>4.39333333333333</v>
      </c>
      <c r="D7" s="8" t="n">
        <v>1</v>
      </c>
      <c r="E7" s="6" t="n">
        <v>0.0133333333333333</v>
      </c>
      <c r="F7" s="6" t="n">
        <v>0.593333333333333</v>
      </c>
      <c r="G7" s="6" t="n">
        <v>0.0433333333333333</v>
      </c>
      <c r="H7" s="6" t="n">
        <v>0.0166666666666667</v>
      </c>
      <c r="I7" s="6" t="n">
        <v>0.95</v>
      </c>
      <c r="J7" s="6" t="n">
        <v>0.976666666666667</v>
      </c>
    </row>
    <row r="8" customFormat="false" ht="15" hidden="false" customHeight="false" outlineLevel="0" collapsed="false">
      <c r="A8" s="0" t="s">
        <v>77</v>
      </c>
      <c r="B8" s="0" t="n">
        <v>300</v>
      </c>
      <c r="C8" s="8" t="n">
        <v>3.56333333333333</v>
      </c>
      <c r="D8" s="8" t="n">
        <v>1</v>
      </c>
      <c r="E8" s="6" t="n">
        <v>0</v>
      </c>
      <c r="F8" s="6" t="n">
        <v>0.833333333333333</v>
      </c>
      <c r="G8" s="6" t="n">
        <v>0.00666666666666667</v>
      </c>
      <c r="H8" s="6" t="n">
        <v>0</v>
      </c>
      <c r="I8" s="6" t="n">
        <v>0.993333333333333</v>
      </c>
      <c r="J8" s="6" t="n">
        <v>1</v>
      </c>
    </row>
    <row r="9" customFormat="false" ht="15" hidden="false" customHeight="false" outlineLevel="0" collapsed="false">
      <c r="A9" s="0" t="s">
        <v>91</v>
      </c>
      <c r="B9" s="0" t="n">
        <v>300</v>
      </c>
      <c r="C9" s="8" t="n">
        <v>3.73666666666667</v>
      </c>
      <c r="D9" s="8" t="n">
        <v>1</v>
      </c>
      <c r="E9" s="6" t="n">
        <v>0.00333333333333333</v>
      </c>
      <c r="F9" s="6" t="n">
        <v>0.833333333333333</v>
      </c>
      <c r="G9" s="6" t="n">
        <v>0</v>
      </c>
      <c r="H9" s="6" t="n">
        <v>0</v>
      </c>
      <c r="I9" s="6" t="n">
        <v>0.993333333333333</v>
      </c>
      <c r="J9" s="6" t="n">
        <v>1</v>
      </c>
    </row>
    <row r="10" customFormat="false" ht="15" hidden="false" customHeight="false" outlineLevel="0" collapsed="false">
      <c r="A10" s="0" t="s">
        <v>102</v>
      </c>
      <c r="B10" s="0" t="n">
        <v>300</v>
      </c>
      <c r="C10" s="8" t="n">
        <v>3.29333333333333</v>
      </c>
      <c r="D10" s="8" t="n">
        <v>1</v>
      </c>
      <c r="E10" s="6" t="n">
        <v>0.00333333333333333</v>
      </c>
      <c r="F10" s="6" t="n">
        <v>0.853333333333333</v>
      </c>
      <c r="G10" s="6" t="n">
        <v>0.00666666666666667</v>
      </c>
      <c r="H10" s="6" t="n">
        <v>0</v>
      </c>
      <c r="I10" s="6" t="n">
        <v>0.99</v>
      </c>
      <c r="J10" s="6" t="n">
        <v>0.99</v>
      </c>
    </row>
    <row r="11" customFormat="false" ht="15" hidden="false" customHeight="false" outlineLevel="0" collapsed="false">
      <c r="A11" s="0" t="s">
        <v>115</v>
      </c>
      <c r="B11" s="0" t="n">
        <v>300</v>
      </c>
      <c r="C11" s="8" t="n">
        <v>2.25333333333333</v>
      </c>
      <c r="D11" s="8" t="n">
        <v>1</v>
      </c>
      <c r="E11" s="6" t="n">
        <v>0</v>
      </c>
      <c r="F11" s="6" t="n">
        <v>0.776666666666667</v>
      </c>
      <c r="G11" s="6" t="n">
        <v>0</v>
      </c>
      <c r="H11" s="6" t="n">
        <v>0</v>
      </c>
      <c r="I11" s="6" t="n">
        <v>0.996666666666667</v>
      </c>
      <c r="J11" s="6" t="n">
        <v>0.996666666666667</v>
      </c>
    </row>
    <row r="12" customFormat="false" ht="15" hidden="false" customHeight="false" outlineLevel="0" collapsed="false">
      <c r="A12" s="0" t="s">
        <v>129</v>
      </c>
      <c r="B12" s="0" t="n">
        <v>300</v>
      </c>
      <c r="C12" s="8" t="n">
        <v>2.99666666666667</v>
      </c>
      <c r="D12" s="8" t="n">
        <v>1</v>
      </c>
      <c r="E12" s="6" t="n">
        <v>0.00333333333333333</v>
      </c>
      <c r="F12" s="6" t="n">
        <v>0.85</v>
      </c>
      <c r="G12" s="6" t="n">
        <v>0.00333333333333333</v>
      </c>
      <c r="H12" s="6" t="n">
        <v>0</v>
      </c>
      <c r="I12" s="6" t="n">
        <v>0.993333333333333</v>
      </c>
      <c r="J12" s="6" t="n">
        <v>0.996666666666667</v>
      </c>
    </row>
    <row r="13" customFormat="false" ht="15" hidden="false" customHeight="false" outlineLevel="0" collapsed="false">
      <c r="A13" s="0" t="s">
        <v>141</v>
      </c>
      <c r="B13" s="0" t="n">
        <v>300</v>
      </c>
      <c r="C13" s="8" t="n">
        <v>3.28333333333333</v>
      </c>
      <c r="D13" s="8" t="n">
        <v>1</v>
      </c>
      <c r="E13" s="6" t="n">
        <v>0.00333333333333333</v>
      </c>
      <c r="F13" s="6" t="n">
        <v>0.96</v>
      </c>
      <c r="G13" s="6" t="n">
        <v>0.00666666666666667</v>
      </c>
      <c r="H13" s="6" t="n">
        <v>0</v>
      </c>
      <c r="I13" s="6" t="n">
        <v>0.993333333333333</v>
      </c>
      <c r="J13" s="6" t="n">
        <v>0.993333333333333</v>
      </c>
    </row>
    <row r="14" customFormat="false" ht="15" hidden="false" customHeight="false" outlineLevel="0" collapsed="false">
      <c r="A14" s="0" t="s">
        <v>152</v>
      </c>
      <c r="B14" s="0" t="n">
        <v>300</v>
      </c>
      <c r="C14" s="8" t="n">
        <v>3.68666666666667</v>
      </c>
      <c r="D14" s="8" t="n">
        <v>1</v>
      </c>
      <c r="E14" s="6" t="n">
        <v>0.00333333333333333</v>
      </c>
      <c r="F14" s="6" t="n">
        <v>0.993333333333333</v>
      </c>
      <c r="G14" s="6" t="n">
        <v>0</v>
      </c>
      <c r="H14" s="6" t="n">
        <v>0</v>
      </c>
      <c r="I14" s="6" t="n">
        <v>1</v>
      </c>
      <c r="J14" s="6" t="n">
        <v>1</v>
      </c>
    </row>
    <row r="15" customFormat="false" ht="15" hidden="false" customHeight="false" outlineLevel="0" collapsed="false">
      <c r="A15" s="0" t="s">
        <v>163</v>
      </c>
      <c r="B15" s="0" t="n">
        <v>300</v>
      </c>
      <c r="C15" s="8" t="n">
        <v>4.45</v>
      </c>
      <c r="D15" s="8" t="n">
        <v>1</v>
      </c>
      <c r="E15" s="6" t="n">
        <v>0.01</v>
      </c>
      <c r="F15" s="6" t="n">
        <v>0.96</v>
      </c>
      <c r="G15" s="6" t="n">
        <v>0</v>
      </c>
      <c r="H15" s="6" t="n">
        <v>0</v>
      </c>
      <c r="I15" s="6" t="n">
        <v>0.993333333333333</v>
      </c>
      <c r="J15" s="6" t="n">
        <v>0.996666666666667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16"/>
    <col collapsed="false" customWidth="true" hidden="false" outlineLevel="0" max="4" min="4" style="0" width="20"/>
    <col collapsed="false" customWidth="true" hidden="false" outlineLevel="0" max="7" min="5" style="0" width="16"/>
  </cols>
  <sheetData>
    <row r="1" customFormat="false" ht="15" hidden="false" customHeight="false" outlineLevel="0" collapsed="false">
      <c r="A1" s="1" t="s">
        <v>283</v>
      </c>
    </row>
    <row r="3" customFormat="false" ht="45" hidden="false" customHeight="true" outlineLevel="0" collapsed="false">
      <c r="A3" s="2" t="s">
        <v>1</v>
      </c>
      <c r="B3" s="2" t="s">
        <v>174</v>
      </c>
      <c r="C3" s="2" t="s">
        <v>284</v>
      </c>
      <c r="D3" s="2" t="s">
        <v>285</v>
      </c>
      <c r="E3" s="2" t="s">
        <v>175</v>
      </c>
      <c r="F3" s="2" t="s">
        <v>2</v>
      </c>
      <c r="G3" s="2" t="s">
        <v>179</v>
      </c>
    </row>
    <row r="4" customFormat="false" ht="15" hidden="false" customHeight="false" outlineLevel="0" collapsed="false">
      <c r="A4" s="0" t="s">
        <v>18</v>
      </c>
      <c r="B4" s="0" t="s">
        <v>182</v>
      </c>
      <c r="C4" s="0" t="s">
        <v>286</v>
      </c>
      <c r="D4" s="0" t="s">
        <v>287</v>
      </c>
      <c r="E4" s="0" t="n">
        <v>1200</v>
      </c>
      <c r="F4" s="6" t="n">
        <v>0.995833333333333</v>
      </c>
      <c r="G4" s="7" t="n">
        <v>0.743</v>
      </c>
    </row>
    <row r="5" customFormat="false" ht="15" hidden="false" customHeight="false" outlineLevel="0" collapsed="false">
      <c r="A5" s="0" t="s">
        <v>18</v>
      </c>
      <c r="B5" s="0" t="s">
        <v>182</v>
      </c>
      <c r="C5" s="0" t="s">
        <v>288</v>
      </c>
      <c r="D5" s="0" t="s">
        <v>289</v>
      </c>
      <c r="E5" s="0" t="n">
        <v>1200</v>
      </c>
      <c r="F5" s="6" t="n">
        <v>0.999166666666667</v>
      </c>
      <c r="G5" s="7" t="n">
        <v>0.671</v>
      </c>
    </row>
    <row r="6" customFormat="false" ht="15" hidden="false" customHeight="false" outlineLevel="0" collapsed="false">
      <c r="A6" s="0" t="s">
        <v>18</v>
      </c>
      <c r="B6" s="0" t="s">
        <v>182</v>
      </c>
      <c r="C6" s="0" t="s">
        <v>290</v>
      </c>
      <c r="D6" s="0" t="s">
        <v>291</v>
      </c>
      <c r="E6" s="0" t="n">
        <v>1200</v>
      </c>
      <c r="F6" s="6" t="n">
        <v>0.995833333333333</v>
      </c>
      <c r="G6" s="7" t="n">
        <v>0.729</v>
      </c>
    </row>
    <row r="7" customFormat="false" ht="15" hidden="false" customHeight="false" outlineLevel="0" collapsed="false">
      <c r="A7" s="0" t="s">
        <v>18</v>
      </c>
      <c r="B7" s="0" t="s">
        <v>182</v>
      </c>
      <c r="C7" s="0" t="s">
        <v>292</v>
      </c>
      <c r="D7" s="0" t="s">
        <v>293</v>
      </c>
      <c r="E7" s="0" t="n">
        <v>1200</v>
      </c>
      <c r="F7" s="6" t="n">
        <v>0.995833333333333</v>
      </c>
      <c r="G7" s="7" t="n">
        <v>0.736</v>
      </c>
    </row>
    <row r="8" customFormat="false" ht="15" hidden="false" customHeight="false" outlineLevel="0" collapsed="false">
      <c r="A8" s="0" t="s">
        <v>18</v>
      </c>
      <c r="B8" s="0" t="s">
        <v>182</v>
      </c>
      <c r="C8" s="0" t="s">
        <v>294</v>
      </c>
      <c r="D8" s="0" t="s">
        <v>295</v>
      </c>
      <c r="E8" s="0" t="n">
        <v>1200</v>
      </c>
      <c r="F8" s="6" t="n">
        <v>0.9975</v>
      </c>
      <c r="G8" s="7" t="n">
        <v>0.708</v>
      </c>
    </row>
    <row r="9" customFormat="false" ht="15" hidden="false" customHeight="false" outlineLevel="0" collapsed="false">
      <c r="A9" s="0" t="s">
        <v>18</v>
      </c>
      <c r="B9" s="0" t="s">
        <v>182</v>
      </c>
      <c r="C9" s="0" t="s">
        <v>296</v>
      </c>
      <c r="D9" s="0" t="s">
        <v>297</v>
      </c>
      <c r="E9" s="0" t="n">
        <v>1200</v>
      </c>
      <c r="F9" s="6" t="n">
        <v>0.9975</v>
      </c>
      <c r="G9" s="7" t="n">
        <v>0.739</v>
      </c>
    </row>
    <row r="10" customFormat="false" ht="15" hidden="false" customHeight="false" outlineLevel="0" collapsed="false">
      <c r="A10" s="0" t="s">
        <v>18</v>
      </c>
      <c r="B10" s="0" t="s">
        <v>182</v>
      </c>
      <c r="C10" s="0" t="s">
        <v>298</v>
      </c>
      <c r="D10" s="0" t="s">
        <v>299</v>
      </c>
      <c r="E10" s="0" t="n">
        <v>1200</v>
      </c>
      <c r="F10" s="6" t="n">
        <v>0.9975</v>
      </c>
      <c r="G10" s="7" t="n">
        <v>0.921</v>
      </c>
    </row>
    <row r="11" customFormat="false" ht="15" hidden="false" customHeight="false" outlineLevel="0" collapsed="false">
      <c r="A11" s="0" t="s">
        <v>18</v>
      </c>
      <c r="B11" s="0" t="s">
        <v>183</v>
      </c>
      <c r="C11" s="0" t="s">
        <v>286</v>
      </c>
      <c r="D11" s="0" t="s">
        <v>300</v>
      </c>
      <c r="E11" s="0" t="n">
        <v>1200</v>
      </c>
      <c r="F11" s="6" t="n">
        <v>0.998333333333333</v>
      </c>
      <c r="G11" s="7" t="n">
        <v>0.939</v>
      </c>
    </row>
    <row r="12" customFormat="false" ht="15" hidden="false" customHeight="false" outlineLevel="0" collapsed="false">
      <c r="A12" s="0" t="s">
        <v>18</v>
      </c>
      <c r="B12" s="0" t="s">
        <v>183</v>
      </c>
      <c r="C12" s="0" t="s">
        <v>288</v>
      </c>
      <c r="D12" s="0" t="s">
        <v>301</v>
      </c>
      <c r="E12" s="0" t="n">
        <v>1200</v>
      </c>
      <c r="F12" s="6" t="n">
        <v>0.996666666666667</v>
      </c>
      <c r="G12" s="7" t="n">
        <v>0.961</v>
      </c>
    </row>
    <row r="13" customFormat="false" ht="15" hidden="false" customHeight="false" outlineLevel="0" collapsed="false">
      <c r="A13" s="0" t="s">
        <v>18</v>
      </c>
      <c r="B13" s="0" t="s">
        <v>183</v>
      </c>
      <c r="C13" s="0" t="s">
        <v>290</v>
      </c>
      <c r="D13" s="0" t="s">
        <v>302</v>
      </c>
      <c r="E13" s="0" t="n">
        <v>1200</v>
      </c>
      <c r="F13" s="6" t="n">
        <v>0.998333333333333</v>
      </c>
      <c r="G13" s="7" t="n">
        <v>0.9335</v>
      </c>
    </row>
    <row r="14" customFormat="false" ht="15" hidden="false" customHeight="false" outlineLevel="0" collapsed="false">
      <c r="A14" s="0" t="s">
        <v>18</v>
      </c>
      <c r="B14" s="0" t="s">
        <v>183</v>
      </c>
      <c r="C14" s="0" t="s">
        <v>292</v>
      </c>
      <c r="D14" s="0" t="s">
        <v>303</v>
      </c>
      <c r="E14" s="0" t="n">
        <v>1200</v>
      </c>
      <c r="F14" s="6" t="n">
        <v>0.989166666666667</v>
      </c>
      <c r="G14" s="7" t="n">
        <v>0.961</v>
      </c>
    </row>
    <row r="15" customFormat="false" ht="15" hidden="false" customHeight="false" outlineLevel="0" collapsed="false">
      <c r="A15" s="0" t="s">
        <v>18</v>
      </c>
      <c r="B15" s="0" t="s">
        <v>183</v>
      </c>
      <c r="C15" s="0" t="s">
        <v>294</v>
      </c>
      <c r="D15" s="0" t="s">
        <v>304</v>
      </c>
      <c r="E15" s="0" t="n">
        <v>1200</v>
      </c>
      <c r="F15" s="6" t="n">
        <v>0.9975</v>
      </c>
      <c r="G15" s="7" t="n">
        <v>0.937</v>
      </c>
    </row>
    <row r="16" customFormat="false" ht="15" hidden="false" customHeight="false" outlineLevel="0" collapsed="false">
      <c r="A16" s="0" t="s">
        <v>18</v>
      </c>
      <c r="B16" s="0" t="s">
        <v>183</v>
      </c>
      <c r="C16" s="0" t="s">
        <v>296</v>
      </c>
      <c r="D16" s="0" t="s">
        <v>305</v>
      </c>
      <c r="E16" s="0" t="n">
        <v>1200</v>
      </c>
      <c r="F16" s="6" t="n">
        <v>1</v>
      </c>
      <c r="G16" s="7" t="n">
        <v>0.9475</v>
      </c>
    </row>
    <row r="17" customFormat="false" ht="15" hidden="false" customHeight="false" outlineLevel="0" collapsed="false">
      <c r="A17" s="0" t="s">
        <v>18</v>
      </c>
      <c r="B17" s="0" t="s">
        <v>183</v>
      </c>
      <c r="C17" s="0" t="s">
        <v>298</v>
      </c>
      <c r="D17" s="0" t="s">
        <v>306</v>
      </c>
      <c r="E17" s="0" t="n">
        <v>1200</v>
      </c>
      <c r="F17" s="6" t="n">
        <v>0.998333333333333</v>
      </c>
      <c r="G17" s="7" t="n">
        <v>0.956</v>
      </c>
    </row>
    <row r="18" customFormat="false" ht="15" hidden="false" customHeight="false" outlineLevel="0" collapsed="false">
      <c r="A18" s="0" t="s">
        <v>18</v>
      </c>
      <c r="B18" s="0" t="s">
        <v>181</v>
      </c>
      <c r="C18" s="0" t="s">
        <v>286</v>
      </c>
      <c r="D18" s="0" t="s">
        <v>307</v>
      </c>
      <c r="E18" s="0" t="n">
        <v>1200</v>
      </c>
      <c r="F18" s="6" t="n">
        <v>0.9975</v>
      </c>
      <c r="G18" s="7" t="n">
        <v>0.75</v>
      </c>
    </row>
    <row r="19" customFormat="false" ht="15" hidden="false" customHeight="false" outlineLevel="0" collapsed="false">
      <c r="A19" s="0" t="s">
        <v>18</v>
      </c>
      <c r="B19" s="0" t="s">
        <v>181</v>
      </c>
      <c r="C19" s="0" t="s">
        <v>288</v>
      </c>
      <c r="D19" s="0" t="s">
        <v>308</v>
      </c>
      <c r="E19" s="0" t="n">
        <v>1200</v>
      </c>
      <c r="F19" s="6" t="n">
        <v>0.996666666666667</v>
      </c>
      <c r="G19" s="7" t="n">
        <v>0.7065</v>
      </c>
    </row>
    <row r="20" customFormat="false" ht="15" hidden="false" customHeight="false" outlineLevel="0" collapsed="false">
      <c r="A20" s="0" t="s">
        <v>18</v>
      </c>
      <c r="B20" s="0" t="s">
        <v>181</v>
      </c>
      <c r="C20" s="0" t="s">
        <v>290</v>
      </c>
      <c r="D20" s="0" t="s">
        <v>309</v>
      </c>
      <c r="E20" s="0" t="n">
        <v>1200</v>
      </c>
      <c r="F20" s="6" t="n">
        <v>0.9975</v>
      </c>
      <c r="G20" s="7" t="n">
        <v>0.735</v>
      </c>
    </row>
    <row r="21" customFormat="false" ht="15" hidden="false" customHeight="false" outlineLevel="0" collapsed="false">
      <c r="A21" s="0" t="s">
        <v>18</v>
      </c>
      <c r="B21" s="0" t="s">
        <v>181</v>
      </c>
      <c r="C21" s="0" t="s">
        <v>292</v>
      </c>
      <c r="D21" s="0" t="s">
        <v>310</v>
      </c>
      <c r="E21" s="0" t="n">
        <v>1200</v>
      </c>
      <c r="F21" s="6" t="n">
        <v>0.995833333333333</v>
      </c>
      <c r="G21" s="7" t="n">
        <v>0.667</v>
      </c>
    </row>
    <row r="22" customFormat="false" ht="15" hidden="false" customHeight="false" outlineLevel="0" collapsed="false">
      <c r="A22" s="0" t="s">
        <v>18</v>
      </c>
      <c r="B22" s="0" t="s">
        <v>181</v>
      </c>
      <c r="C22" s="0" t="s">
        <v>294</v>
      </c>
      <c r="D22" s="0" t="s">
        <v>311</v>
      </c>
      <c r="E22" s="0" t="n">
        <v>1200</v>
      </c>
      <c r="F22" s="6" t="n">
        <v>0.998333333333333</v>
      </c>
      <c r="G22" s="7" t="n">
        <v>0.739</v>
      </c>
    </row>
    <row r="23" customFormat="false" ht="15" hidden="false" customHeight="false" outlineLevel="0" collapsed="false">
      <c r="A23" s="0" t="s">
        <v>18</v>
      </c>
      <c r="B23" s="0" t="s">
        <v>181</v>
      </c>
      <c r="C23" s="0" t="s">
        <v>296</v>
      </c>
      <c r="D23" s="0" t="s">
        <v>312</v>
      </c>
      <c r="E23" s="0" t="n">
        <v>1200</v>
      </c>
      <c r="F23" s="6" t="n">
        <v>0.998333333333333</v>
      </c>
      <c r="G23" s="7" t="n">
        <v>0.689</v>
      </c>
    </row>
    <row r="24" customFormat="false" ht="15" hidden="false" customHeight="false" outlineLevel="0" collapsed="false">
      <c r="A24" s="0" t="s">
        <v>18</v>
      </c>
      <c r="B24" s="0" t="s">
        <v>181</v>
      </c>
      <c r="C24" s="0" t="s">
        <v>298</v>
      </c>
      <c r="D24" s="0" t="s">
        <v>313</v>
      </c>
      <c r="E24" s="0" t="n">
        <v>1200</v>
      </c>
      <c r="F24" s="6" t="n">
        <v>0.995833333333333</v>
      </c>
      <c r="G24" s="7" t="n">
        <v>0.735</v>
      </c>
    </row>
    <row r="25" customFormat="false" ht="15" hidden="false" customHeight="false" outlineLevel="0" collapsed="false">
      <c r="A25" s="0" t="s">
        <v>129</v>
      </c>
      <c r="B25" s="0" t="s">
        <v>182</v>
      </c>
      <c r="C25" s="0" t="s">
        <v>286</v>
      </c>
      <c r="D25" s="0" t="s">
        <v>314</v>
      </c>
      <c r="E25" s="0" t="n">
        <v>1200</v>
      </c>
      <c r="F25" s="6" t="n">
        <v>1</v>
      </c>
      <c r="G25" s="7" t="n">
        <v>0.5315</v>
      </c>
    </row>
    <row r="26" customFormat="false" ht="15" hidden="false" customHeight="false" outlineLevel="0" collapsed="false">
      <c r="A26" s="0" t="s">
        <v>129</v>
      </c>
      <c r="B26" s="0" t="s">
        <v>182</v>
      </c>
      <c r="C26" s="0" t="s">
        <v>288</v>
      </c>
      <c r="D26" s="0" t="s">
        <v>315</v>
      </c>
      <c r="E26" s="0" t="n">
        <v>1200</v>
      </c>
      <c r="F26" s="6" t="n">
        <v>1</v>
      </c>
      <c r="G26" s="7" t="n">
        <v>0.4715</v>
      </c>
    </row>
    <row r="27" customFormat="false" ht="15" hidden="false" customHeight="false" outlineLevel="0" collapsed="false">
      <c r="A27" s="0" t="s">
        <v>129</v>
      </c>
      <c r="B27" s="0" t="s">
        <v>182</v>
      </c>
      <c r="C27" s="0" t="s">
        <v>290</v>
      </c>
      <c r="D27" s="0" t="s">
        <v>316</v>
      </c>
      <c r="E27" s="0" t="n">
        <v>1200</v>
      </c>
      <c r="F27" s="6" t="n">
        <v>0.998333333333333</v>
      </c>
      <c r="G27" s="7" t="n">
        <v>0.524</v>
      </c>
    </row>
    <row r="28" customFormat="false" ht="15" hidden="false" customHeight="false" outlineLevel="0" collapsed="false">
      <c r="A28" s="0" t="s">
        <v>129</v>
      </c>
      <c r="B28" s="0" t="s">
        <v>182</v>
      </c>
      <c r="C28" s="0" t="s">
        <v>292</v>
      </c>
      <c r="D28" s="0" t="s">
        <v>317</v>
      </c>
      <c r="E28" s="0" t="n">
        <v>1200</v>
      </c>
      <c r="F28" s="6" t="n">
        <v>0.999166666666667</v>
      </c>
      <c r="G28" s="7" t="n">
        <v>0.514</v>
      </c>
    </row>
    <row r="29" customFormat="false" ht="15" hidden="false" customHeight="false" outlineLevel="0" collapsed="false">
      <c r="A29" s="0" t="s">
        <v>129</v>
      </c>
      <c r="B29" s="0" t="s">
        <v>182</v>
      </c>
      <c r="C29" s="0" t="s">
        <v>294</v>
      </c>
      <c r="D29" s="0" t="s">
        <v>318</v>
      </c>
      <c r="E29" s="0" t="n">
        <v>1200</v>
      </c>
      <c r="F29" s="6" t="n">
        <v>1</v>
      </c>
      <c r="G29" s="7" t="n">
        <v>0.5025</v>
      </c>
    </row>
    <row r="30" customFormat="false" ht="15" hidden="false" customHeight="false" outlineLevel="0" collapsed="false">
      <c r="A30" s="0" t="s">
        <v>129</v>
      </c>
      <c r="B30" s="0" t="s">
        <v>182</v>
      </c>
      <c r="C30" s="0" t="s">
        <v>296</v>
      </c>
      <c r="D30" s="0" t="s">
        <v>319</v>
      </c>
      <c r="E30" s="0" t="n">
        <v>1200</v>
      </c>
      <c r="F30" s="6" t="n">
        <v>0.999166666666667</v>
      </c>
      <c r="G30" s="7" t="n">
        <v>0.488</v>
      </c>
    </row>
    <row r="31" customFormat="false" ht="15" hidden="false" customHeight="false" outlineLevel="0" collapsed="false">
      <c r="A31" s="0" t="s">
        <v>129</v>
      </c>
      <c r="B31" s="0" t="s">
        <v>182</v>
      </c>
      <c r="C31" s="0" t="s">
        <v>298</v>
      </c>
      <c r="D31" s="0" t="s">
        <v>320</v>
      </c>
      <c r="E31" s="0" t="n">
        <v>1200</v>
      </c>
      <c r="F31" s="6" t="n">
        <v>0.998333333333333</v>
      </c>
      <c r="G31" s="7" t="n">
        <v>0.759</v>
      </c>
    </row>
    <row r="32" customFormat="false" ht="15" hidden="false" customHeight="false" outlineLevel="0" collapsed="false">
      <c r="A32" s="0" t="s">
        <v>129</v>
      </c>
      <c r="B32" s="0" t="s">
        <v>183</v>
      </c>
      <c r="C32" s="0" t="s">
        <v>286</v>
      </c>
      <c r="D32" s="0" t="s">
        <v>321</v>
      </c>
      <c r="E32" s="0" t="n">
        <v>1200</v>
      </c>
      <c r="F32" s="6" t="n">
        <v>1</v>
      </c>
      <c r="G32" s="7" t="n">
        <v>0.798</v>
      </c>
    </row>
    <row r="33" customFormat="false" ht="15" hidden="false" customHeight="false" outlineLevel="0" collapsed="false">
      <c r="A33" s="0" t="s">
        <v>129</v>
      </c>
      <c r="B33" s="0" t="s">
        <v>183</v>
      </c>
      <c r="C33" s="0" t="s">
        <v>288</v>
      </c>
      <c r="D33" s="0" t="s">
        <v>322</v>
      </c>
      <c r="E33" s="0" t="n">
        <v>1200</v>
      </c>
      <c r="F33" s="6" t="n">
        <v>0.998333333333333</v>
      </c>
      <c r="G33" s="7" t="n">
        <v>0.787</v>
      </c>
    </row>
    <row r="34" customFormat="false" ht="15" hidden="false" customHeight="false" outlineLevel="0" collapsed="false">
      <c r="A34" s="0" t="s">
        <v>129</v>
      </c>
      <c r="B34" s="0" t="s">
        <v>183</v>
      </c>
      <c r="C34" s="0" t="s">
        <v>290</v>
      </c>
      <c r="D34" s="0" t="s">
        <v>323</v>
      </c>
      <c r="E34" s="0" t="n">
        <v>1200</v>
      </c>
      <c r="F34" s="6" t="n">
        <v>0.999166666666667</v>
      </c>
      <c r="G34" s="7" t="n">
        <v>0.826</v>
      </c>
    </row>
    <row r="35" customFormat="false" ht="15" hidden="false" customHeight="false" outlineLevel="0" collapsed="false">
      <c r="A35" s="0" t="s">
        <v>129</v>
      </c>
      <c r="B35" s="0" t="s">
        <v>183</v>
      </c>
      <c r="C35" s="0" t="s">
        <v>292</v>
      </c>
      <c r="D35" s="0" t="s">
        <v>324</v>
      </c>
      <c r="E35" s="0" t="n">
        <v>1200</v>
      </c>
      <c r="F35" s="6" t="n">
        <v>0.998333333333333</v>
      </c>
      <c r="G35" s="7" t="n">
        <v>0.797</v>
      </c>
    </row>
    <row r="36" customFormat="false" ht="15" hidden="false" customHeight="false" outlineLevel="0" collapsed="false">
      <c r="A36" s="0" t="s">
        <v>129</v>
      </c>
      <c r="B36" s="0" t="s">
        <v>183</v>
      </c>
      <c r="C36" s="0" t="s">
        <v>294</v>
      </c>
      <c r="D36" s="0" t="s">
        <v>325</v>
      </c>
      <c r="E36" s="0" t="n">
        <v>1200</v>
      </c>
      <c r="F36" s="6" t="n">
        <v>0.999166666666667</v>
      </c>
      <c r="G36" s="7" t="n">
        <v>0.784</v>
      </c>
    </row>
    <row r="37" customFormat="false" ht="15" hidden="false" customHeight="false" outlineLevel="0" collapsed="false">
      <c r="A37" s="0" t="s">
        <v>129</v>
      </c>
      <c r="B37" s="0" t="s">
        <v>183</v>
      </c>
      <c r="C37" s="0" t="s">
        <v>296</v>
      </c>
      <c r="D37" s="0" t="s">
        <v>326</v>
      </c>
      <c r="E37" s="0" t="n">
        <v>1200</v>
      </c>
      <c r="F37" s="6" t="n">
        <v>0.999166666666667</v>
      </c>
      <c r="G37" s="7" t="n">
        <v>0.797</v>
      </c>
    </row>
    <row r="38" customFormat="false" ht="15" hidden="false" customHeight="false" outlineLevel="0" collapsed="false">
      <c r="A38" s="0" t="s">
        <v>129</v>
      </c>
      <c r="B38" s="0" t="s">
        <v>183</v>
      </c>
      <c r="C38" s="0" t="s">
        <v>298</v>
      </c>
      <c r="D38" s="0" t="s">
        <v>327</v>
      </c>
      <c r="E38" s="0" t="n">
        <v>1200</v>
      </c>
      <c r="F38" s="6" t="n">
        <v>0.999166666666667</v>
      </c>
      <c r="G38" s="7" t="n">
        <v>0.808</v>
      </c>
    </row>
    <row r="39" customFormat="false" ht="15" hidden="false" customHeight="false" outlineLevel="0" collapsed="false">
      <c r="A39" s="0" t="s">
        <v>129</v>
      </c>
      <c r="B39" s="0" t="s">
        <v>181</v>
      </c>
      <c r="C39" s="0" t="s">
        <v>286</v>
      </c>
      <c r="D39" s="0" t="s">
        <v>328</v>
      </c>
      <c r="E39" s="0" t="n">
        <v>1200</v>
      </c>
      <c r="F39" s="6" t="n">
        <v>1</v>
      </c>
      <c r="G39" s="7" t="n">
        <v>0.9265</v>
      </c>
    </row>
    <row r="40" customFormat="false" ht="15" hidden="false" customHeight="false" outlineLevel="0" collapsed="false">
      <c r="A40" s="0" t="s">
        <v>129</v>
      </c>
      <c r="B40" s="0" t="s">
        <v>181</v>
      </c>
      <c r="C40" s="0" t="s">
        <v>288</v>
      </c>
      <c r="D40" s="0" t="s">
        <v>329</v>
      </c>
      <c r="E40" s="0" t="n">
        <v>1200</v>
      </c>
      <c r="F40" s="6" t="n">
        <v>1</v>
      </c>
      <c r="G40" s="7" t="n">
        <v>0.9135</v>
      </c>
    </row>
    <row r="41" customFormat="false" ht="15" hidden="false" customHeight="false" outlineLevel="0" collapsed="false">
      <c r="A41" s="0" t="s">
        <v>129</v>
      </c>
      <c r="B41" s="0" t="s">
        <v>181</v>
      </c>
      <c r="C41" s="0" t="s">
        <v>290</v>
      </c>
      <c r="D41" s="0" t="s">
        <v>330</v>
      </c>
      <c r="E41" s="0" t="n">
        <v>1200</v>
      </c>
      <c r="F41" s="6" t="n">
        <v>1</v>
      </c>
      <c r="G41" s="7" t="n">
        <v>0.9805</v>
      </c>
    </row>
    <row r="42" customFormat="false" ht="15" hidden="false" customHeight="false" outlineLevel="0" collapsed="false">
      <c r="A42" s="0" t="s">
        <v>129</v>
      </c>
      <c r="B42" s="0" t="s">
        <v>181</v>
      </c>
      <c r="C42" s="0" t="s">
        <v>292</v>
      </c>
      <c r="D42" s="0" t="s">
        <v>331</v>
      </c>
      <c r="E42" s="0" t="n">
        <v>1200</v>
      </c>
      <c r="F42" s="6" t="n">
        <v>0.999166666666667</v>
      </c>
      <c r="G42" s="7" t="n">
        <v>0.95</v>
      </c>
    </row>
    <row r="43" customFormat="false" ht="15" hidden="false" customHeight="false" outlineLevel="0" collapsed="false">
      <c r="A43" s="0" t="s">
        <v>129</v>
      </c>
      <c r="B43" s="0" t="s">
        <v>181</v>
      </c>
      <c r="C43" s="0" t="s">
        <v>294</v>
      </c>
      <c r="D43" s="0" t="s">
        <v>332</v>
      </c>
      <c r="E43" s="0" t="n">
        <v>1200</v>
      </c>
      <c r="F43" s="6" t="n">
        <v>1</v>
      </c>
      <c r="G43" s="7" t="n">
        <v>0.9515</v>
      </c>
    </row>
    <row r="44" customFormat="false" ht="15" hidden="false" customHeight="false" outlineLevel="0" collapsed="false">
      <c r="A44" s="0" t="s">
        <v>129</v>
      </c>
      <c r="B44" s="0" t="s">
        <v>181</v>
      </c>
      <c r="C44" s="0" t="s">
        <v>296</v>
      </c>
      <c r="D44" s="0" t="s">
        <v>333</v>
      </c>
      <c r="E44" s="0" t="n">
        <v>1200</v>
      </c>
      <c r="F44" s="6" t="n">
        <v>1</v>
      </c>
      <c r="G44" s="7" t="n">
        <v>0.9265</v>
      </c>
    </row>
    <row r="45" customFormat="false" ht="15" hidden="false" customHeight="false" outlineLevel="0" collapsed="false">
      <c r="A45" s="0" t="s">
        <v>129</v>
      </c>
      <c r="B45" s="0" t="s">
        <v>181</v>
      </c>
      <c r="C45" s="0" t="s">
        <v>298</v>
      </c>
      <c r="D45" s="0" t="s">
        <v>334</v>
      </c>
      <c r="E45" s="0" t="n">
        <v>1200</v>
      </c>
      <c r="F45" s="6" t="n">
        <v>0.999166666666667</v>
      </c>
      <c r="G45" s="7" t="n">
        <v>0.95</v>
      </c>
    </row>
    <row r="46" customFormat="false" ht="15" hidden="false" customHeight="false" outlineLevel="0" collapsed="false">
      <c r="A46" s="0" t="s">
        <v>141</v>
      </c>
      <c r="B46" s="0" t="s">
        <v>182</v>
      </c>
      <c r="C46" s="0" t="s">
        <v>286</v>
      </c>
      <c r="D46" s="0" t="s">
        <v>307</v>
      </c>
      <c r="E46" s="0" t="n">
        <v>1200</v>
      </c>
      <c r="F46" s="6" t="n">
        <v>0.999166666666667</v>
      </c>
      <c r="G46" s="7" t="n">
        <v>0.381</v>
      </c>
    </row>
    <row r="47" customFormat="false" ht="15" hidden="false" customHeight="false" outlineLevel="0" collapsed="false">
      <c r="A47" s="0" t="s">
        <v>141</v>
      </c>
      <c r="B47" s="0" t="s">
        <v>182</v>
      </c>
      <c r="C47" s="0" t="s">
        <v>288</v>
      </c>
      <c r="D47" s="0" t="s">
        <v>335</v>
      </c>
      <c r="E47" s="0" t="n">
        <v>1200</v>
      </c>
      <c r="F47" s="6" t="n">
        <v>0.998333333333333</v>
      </c>
      <c r="G47" s="7" t="n">
        <v>0.35</v>
      </c>
    </row>
    <row r="48" customFormat="false" ht="15" hidden="false" customHeight="false" outlineLevel="0" collapsed="false">
      <c r="A48" s="0" t="s">
        <v>141</v>
      </c>
      <c r="B48" s="0" t="s">
        <v>182</v>
      </c>
      <c r="C48" s="0" t="s">
        <v>290</v>
      </c>
      <c r="D48" s="0" t="s">
        <v>336</v>
      </c>
      <c r="E48" s="0" t="n">
        <v>1200</v>
      </c>
      <c r="F48" s="6" t="n">
        <v>0.998333333333333</v>
      </c>
      <c r="G48" s="7" t="n">
        <v>0.3855</v>
      </c>
    </row>
    <row r="49" customFormat="false" ht="15" hidden="false" customHeight="false" outlineLevel="0" collapsed="false">
      <c r="A49" s="0" t="s">
        <v>141</v>
      </c>
      <c r="B49" s="0" t="s">
        <v>182</v>
      </c>
      <c r="C49" s="0" t="s">
        <v>292</v>
      </c>
      <c r="D49" s="0" t="s">
        <v>337</v>
      </c>
      <c r="E49" s="0" t="n">
        <v>1200</v>
      </c>
      <c r="F49" s="6" t="n">
        <v>0.998333333333333</v>
      </c>
      <c r="G49" s="7" t="n">
        <v>0.3615</v>
      </c>
    </row>
    <row r="50" customFormat="false" ht="15" hidden="false" customHeight="false" outlineLevel="0" collapsed="false">
      <c r="A50" s="0" t="s">
        <v>141</v>
      </c>
      <c r="B50" s="0" t="s">
        <v>182</v>
      </c>
      <c r="C50" s="0" t="s">
        <v>294</v>
      </c>
      <c r="D50" s="0" t="s">
        <v>338</v>
      </c>
      <c r="E50" s="0" t="n">
        <v>1200</v>
      </c>
      <c r="F50" s="6" t="n">
        <v>0.996666666666667</v>
      </c>
      <c r="G50" s="7" t="n">
        <v>0.38</v>
      </c>
    </row>
    <row r="51" customFormat="false" ht="15" hidden="false" customHeight="false" outlineLevel="0" collapsed="false">
      <c r="A51" s="0" t="s">
        <v>141</v>
      </c>
      <c r="B51" s="0" t="s">
        <v>182</v>
      </c>
      <c r="C51" s="0" t="s">
        <v>296</v>
      </c>
      <c r="D51" s="0" t="s">
        <v>339</v>
      </c>
      <c r="E51" s="0" t="n">
        <v>1200</v>
      </c>
      <c r="F51" s="6" t="n">
        <v>0.999166666666667</v>
      </c>
      <c r="G51" s="7" t="n">
        <v>0.33</v>
      </c>
    </row>
    <row r="52" customFormat="false" ht="15" hidden="false" customHeight="false" outlineLevel="0" collapsed="false">
      <c r="A52" s="0" t="s">
        <v>141</v>
      </c>
      <c r="B52" s="0" t="s">
        <v>182</v>
      </c>
      <c r="C52" s="0" t="s">
        <v>298</v>
      </c>
      <c r="D52" s="0" t="s">
        <v>340</v>
      </c>
      <c r="E52" s="0" t="n">
        <v>1200</v>
      </c>
      <c r="F52" s="6" t="n">
        <v>0.999166666666667</v>
      </c>
      <c r="G52" s="7" t="n">
        <v>0.524</v>
      </c>
    </row>
    <row r="53" customFormat="false" ht="15" hidden="false" customHeight="false" outlineLevel="0" collapsed="false">
      <c r="A53" s="0" t="s">
        <v>141</v>
      </c>
      <c r="B53" s="0" t="s">
        <v>183</v>
      </c>
      <c r="C53" s="0" t="s">
        <v>286</v>
      </c>
      <c r="D53" s="0" t="s">
        <v>341</v>
      </c>
      <c r="E53" s="0" t="n">
        <v>1200</v>
      </c>
      <c r="F53" s="6" t="n">
        <v>0.998333333333333</v>
      </c>
      <c r="G53" s="7" t="n">
        <v>0.98</v>
      </c>
    </row>
    <row r="54" customFormat="false" ht="15" hidden="false" customHeight="false" outlineLevel="0" collapsed="false">
      <c r="A54" s="0" t="s">
        <v>141</v>
      </c>
      <c r="B54" s="0" t="s">
        <v>183</v>
      </c>
      <c r="C54" s="0" t="s">
        <v>288</v>
      </c>
      <c r="D54" s="0" t="s">
        <v>342</v>
      </c>
      <c r="E54" s="0" t="n">
        <v>1200</v>
      </c>
      <c r="F54" s="6" t="n">
        <v>0.9975</v>
      </c>
      <c r="G54" s="7" t="n">
        <v>0.932</v>
      </c>
    </row>
    <row r="55" customFormat="false" ht="15" hidden="false" customHeight="false" outlineLevel="0" collapsed="false">
      <c r="A55" s="0" t="s">
        <v>141</v>
      </c>
      <c r="B55" s="0" t="s">
        <v>183</v>
      </c>
      <c r="C55" s="0" t="s">
        <v>290</v>
      </c>
      <c r="D55" s="0" t="s">
        <v>343</v>
      </c>
      <c r="E55" s="0" t="n">
        <v>1200</v>
      </c>
      <c r="F55" s="6" t="n">
        <v>0.999166666666667</v>
      </c>
      <c r="G55" s="7" t="n">
        <v>0.988</v>
      </c>
    </row>
    <row r="56" customFormat="false" ht="15" hidden="false" customHeight="false" outlineLevel="0" collapsed="false">
      <c r="A56" s="0" t="s">
        <v>141</v>
      </c>
      <c r="B56" s="0" t="s">
        <v>183</v>
      </c>
      <c r="C56" s="0" t="s">
        <v>292</v>
      </c>
      <c r="D56" s="0" t="s">
        <v>344</v>
      </c>
      <c r="E56" s="0" t="n">
        <v>1200</v>
      </c>
      <c r="F56" s="6" t="n">
        <v>1</v>
      </c>
      <c r="G56" s="7" t="n">
        <v>0.9665</v>
      </c>
    </row>
    <row r="57" customFormat="false" ht="15" hidden="false" customHeight="false" outlineLevel="0" collapsed="false">
      <c r="A57" s="0" t="s">
        <v>141</v>
      </c>
      <c r="B57" s="0" t="s">
        <v>183</v>
      </c>
      <c r="C57" s="0" t="s">
        <v>294</v>
      </c>
      <c r="D57" s="0" t="s">
        <v>345</v>
      </c>
      <c r="E57" s="0" t="n">
        <v>1200</v>
      </c>
      <c r="F57" s="6" t="n">
        <v>1</v>
      </c>
      <c r="G57" s="7" t="n">
        <v>0.981</v>
      </c>
    </row>
    <row r="58" customFormat="false" ht="15" hidden="false" customHeight="false" outlineLevel="0" collapsed="false">
      <c r="A58" s="0" t="s">
        <v>141</v>
      </c>
      <c r="B58" s="0" t="s">
        <v>183</v>
      </c>
      <c r="C58" s="0" t="s">
        <v>296</v>
      </c>
      <c r="D58" s="0" t="s">
        <v>346</v>
      </c>
      <c r="E58" s="0" t="n">
        <v>1200</v>
      </c>
      <c r="F58" s="6" t="n">
        <v>0.9975</v>
      </c>
      <c r="G58" s="7" t="n">
        <v>0.955</v>
      </c>
    </row>
    <row r="59" customFormat="false" ht="15" hidden="false" customHeight="false" outlineLevel="0" collapsed="false">
      <c r="A59" s="0" t="s">
        <v>141</v>
      </c>
      <c r="B59" s="0" t="s">
        <v>183</v>
      </c>
      <c r="C59" s="0" t="s">
        <v>298</v>
      </c>
      <c r="D59" s="0" t="s">
        <v>347</v>
      </c>
      <c r="E59" s="0" t="n">
        <v>1200</v>
      </c>
      <c r="F59" s="6" t="n">
        <v>0.998333333333333</v>
      </c>
      <c r="G59" s="7" t="n">
        <v>0.9845</v>
      </c>
    </row>
    <row r="60" customFormat="false" ht="15" hidden="false" customHeight="false" outlineLevel="0" collapsed="false">
      <c r="A60" s="0" t="s">
        <v>141</v>
      </c>
      <c r="B60" s="0" t="s">
        <v>181</v>
      </c>
      <c r="C60" s="0" t="s">
        <v>286</v>
      </c>
      <c r="D60" s="0" t="s">
        <v>348</v>
      </c>
      <c r="E60" s="0" t="n">
        <v>1200</v>
      </c>
      <c r="F60" s="6" t="n">
        <v>0.998333333333333</v>
      </c>
      <c r="G60" s="7" t="n">
        <v>0.419</v>
      </c>
    </row>
    <row r="61" customFormat="false" ht="15" hidden="false" customHeight="false" outlineLevel="0" collapsed="false">
      <c r="A61" s="0" t="s">
        <v>141</v>
      </c>
      <c r="B61" s="0" t="s">
        <v>181</v>
      </c>
      <c r="C61" s="0" t="s">
        <v>288</v>
      </c>
      <c r="D61" s="0" t="s">
        <v>349</v>
      </c>
      <c r="E61" s="0" t="n">
        <v>1200</v>
      </c>
      <c r="F61" s="6" t="n">
        <v>0.999166666666667</v>
      </c>
      <c r="G61" s="7" t="n">
        <v>0.396</v>
      </c>
    </row>
    <row r="62" customFormat="false" ht="15" hidden="false" customHeight="false" outlineLevel="0" collapsed="false">
      <c r="A62" s="0" t="s">
        <v>141</v>
      </c>
      <c r="B62" s="0" t="s">
        <v>181</v>
      </c>
      <c r="C62" s="0" t="s">
        <v>290</v>
      </c>
      <c r="D62" s="0" t="s">
        <v>350</v>
      </c>
      <c r="E62" s="0" t="n">
        <v>1200</v>
      </c>
      <c r="F62" s="6" t="n">
        <v>0.998333333333333</v>
      </c>
      <c r="G62" s="7" t="n">
        <v>0.4175</v>
      </c>
    </row>
    <row r="63" customFormat="false" ht="15" hidden="false" customHeight="false" outlineLevel="0" collapsed="false">
      <c r="A63" s="0" t="s">
        <v>141</v>
      </c>
      <c r="B63" s="0" t="s">
        <v>181</v>
      </c>
      <c r="C63" s="0" t="s">
        <v>292</v>
      </c>
      <c r="D63" s="0" t="s">
        <v>351</v>
      </c>
      <c r="E63" s="0" t="n">
        <v>1200</v>
      </c>
      <c r="F63" s="6" t="n">
        <v>0.999166666666667</v>
      </c>
      <c r="G63" s="7" t="n">
        <v>0.406</v>
      </c>
    </row>
    <row r="64" customFormat="false" ht="15" hidden="false" customHeight="false" outlineLevel="0" collapsed="false">
      <c r="A64" s="0" t="s">
        <v>141</v>
      </c>
      <c r="B64" s="0" t="s">
        <v>181</v>
      </c>
      <c r="C64" s="0" t="s">
        <v>294</v>
      </c>
      <c r="D64" s="0" t="s">
        <v>352</v>
      </c>
      <c r="E64" s="0" t="n">
        <v>1200</v>
      </c>
      <c r="F64" s="6" t="n">
        <v>0.999166666666667</v>
      </c>
      <c r="G64" s="7" t="n">
        <v>0.418</v>
      </c>
    </row>
    <row r="65" customFormat="false" ht="15" hidden="false" customHeight="false" outlineLevel="0" collapsed="false">
      <c r="A65" s="0" t="s">
        <v>141</v>
      </c>
      <c r="B65" s="0" t="s">
        <v>181</v>
      </c>
      <c r="C65" s="0" t="s">
        <v>296</v>
      </c>
      <c r="D65" s="0" t="s">
        <v>353</v>
      </c>
      <c r="E65" s="0" t="n">
        <v>1200</v>
      </c>
      <c r="F65" s="6" t="n">
        <v>0.999166666666667</v>
      </c>
      <c r="G65" s="7" t="n">
        <v>0.411</v>
      </c>
    </row>
    <row r="66" customFormat="false" ht="15" hidden="false" customHeight="false" outlineLevel="0" collapsed="false">
      <c r="A66" s="0" t="s">
        <v>141</v>
      </c>
      <c r="B66" s="0" t="s">
        <v>181</v>
      </c>
      <c r="C66" s="0" t="s">
        <v>298</v>
      </c>
      <c r="D66" s="0" t="s">
        <v>354</v>
      </c>
      <c r="E66" s="0" t="n">
        <v>1200</v>
      </c>
      <c r="F66" s="6" t="n">
        <v>0.995833333333333</v>
      </c>
      <c r="G66" s="7" t="n">
        <v>0.423</v>
      </c>
    </row>
    <row r="67" customFormat="false" ht="15" hidden="false" customHeight="false" outlineLevel="0" collapsed="false">
      <c r="A67" s="0" t="s">
        <v>33</v>
      </c>
      <c r="B67" s="0" t="s">
        <v>182</v>
      </c>
      <c r="C67" s="0" t="s">
        <v>286</v>
      </c>
      <c r="D67" s="0" t="s">
        <v>355</v>
      </c>
      <c r="E67" s="0" t="n">
        <v>1200</v>
      </c>
      <c r="F67" s="6" t="n">
        <v>0.906666666666667</v>
      </c>
      <c r="G67" s="7" t="n">
        <v>0.7345</v>
      </c>
    </row>
    <row r="68" customFormat="false" ht="15" hidden="false" customHeight="false" outlineLevel="0" collapsed="false">
      <c r="A68" s="0" t="s">
        <v>33</v>
      </c>
      <c r="B68" s="0" t="s">
        <v>182</v>
      </c>
      <c r="C68" s="0" t="s">
        <v>288</v>
      </c>
      <c r="D68" s="0" t="s">
        <v>356</v>
      </c>
      <c r="E68" s="0" t="n">
        <v>1200</v>
      </c>
      <c r="F68" s="6" t="n">
        <v>0.989166666666667</v>
      </c>
      <c r="G68" s="7" t="n">
        <v>0.782</v>
      </c>
    </row>
    <row r="69" customFormat="false" ht="15" hidden="false" customHeight="false" outlineLevel="0" collapsed="false">
      <c r="A69" s="0" t="s">
        <v>33</v>
      </c>
      <c r="B69" s="0" t="s">
        <v>182</v>
      </c>
      <c r="C69" s="0" t="s">
        <v>290</v>
      </c>
      <c r="D69" s="0" t="s">
        <v>357</v>
      </c>
      <c r="E69" s="0" t="n">
        <v>1200</v>
      </c>
      <c r="F69" s="6" t="n">
        <v>0.985833333333333</v>
      </c>
      <c r="G69" s="7" t="n">
        <v>0.769</v>
      </c>
    </row>
    <row r="70" customFormat="false" ht="15" hidden="false" customHeight="false" outlineLevel="0" collapsed="false">
      <c r="A70" s="0" t="s">
        <v>33</v>
      </c>
      <c r="B70" s="0" t="s">
        <v>182</v>
      </c>
      <c r="C70" s="0" t="s">
        <v>292</v>
      </c>
      <c r="D70" s="0" t="s">
        <v>358</v>
      </c>
      <c r="E70" s="0" t="n">
        <v>1200</v>
      </c>
      <c r="F70" s="6" t="n">
        <v>0.988333333333333</v>
      </c>
      <c r="G70" s="7" t="n">
        <v>0.783</v>
      </c>
    </row>
    <row r="71" customFormat="false" ht="15" hidden="false" customHeight="false" outlineLevel="0" collapsed="false">
      <c r="A71" s="0" t="s">
        <v>33</v>
      </c>
      <c r="B71" s="0" t="s">
        <v>182</v>
      </c>
      <c r="C71" s="0" t="s">
        <v>294</v>
      </c>
      <c r="D71" s="0" t="s">
        <v>359</v>
      </c>
      <c r="E71" s="0" t="n">
        <v>1200</v>
      </c>
      <c r="F71" s="6" t="n">
        <v>0.991666666666667</v>
      </c>
      <c r="G71" s="7" t="n">
        <v>0.7545</v>
      </c>
    </row>
    <row r="72" customFormat="false" ht="15" hidden="false" customHeight="false" outlineLevel="0" collapsed="false">
      <c r="A72" s="0" t="s">
        <v>33</v>
      </c>
      <c r="B72" s="0" t="s">
        <v>182</v>
      </c>
      <c r="C72" s="0" t="s">
        <v>296</v>
      </c>
      <c r="D72" s="0" t="s">
        <v>360</v>
      </c>
      <c r="E72" s="0" t="n">
        <v>1200</v>
      </c>
      <c r="F72" s="6" t="n">
        <v>0.984166666666667</v>
      </c>
      <c r="G72" s="7" t="n">
        <v>0.766</v>
      </c>
    </row>
    <row r="73" customFormat="false" ht="15" hidden="false" customHeight="false" outlineLevel="0" collapsed="false">
      <c r="A73" s="0" t="s">
        <v>33</v>
      </c>
      <c r="B73" s="0" t="s">
        <v>182</v>
      </c>
      <c r="C73" s="0" t="s">
        <v>298</v>
      </c>
      <c r="D73" s="0" t="s">
        <v>361</v>
      </c>
      <c r="E73" s="0" t="n">
        <v>1200</v>
      </c>
      <c r="F73" s="6" t="n">
        <v>0.991666666666667</v>
      </c>
      <c r="G73" s="7" t="n">
        <v>0.8595</v>
      </c>
    </row>
    <row r="74" customFormat="false" ht="15" hidden="false" customHeight="false" outlineLevel="0" collapsed="false">
      <c r="A74" s="0" t="s">
        <v>33</v>
      </c>
      <c r="B74" s="0" t="s">
        <v>183</v>
      </c>
      <c r="C74" s="0" t="s">
        <v>286</v>
      </c>
      <c r="D74" s="0" t="s">
        <v>362</v>
      </c>
      <c r="E74" s="0" t="n">
        <v>1200</v>
      </c>
      <c r="F74" s="6" t="n">
        <v>0.986666666666667</v>
      </c>
      <c r="G74" s="7" t="n">
        <v>0.723</v>
      </c>
    </row>
    <row r="75" customFormat="false" ht="15" hidden="false" customHeight="false" outlineLevel="0" collapsed="false">
      <c r="A75" s="0" t="s">
        <v>33</v>
      </c>
      <c r="B75" s="0" t="s">
        <v>183</v>
      </c>
      <c r="C75" s="0" t="s">
        <v>288</v>
      </c>
      <c r="D75" s="0" t="s">
        <v>363</v>
      </c>
      <c r="E75" s="0" t="n">
        <v>1200</v>
      </c>
      <c r="F75" s="6" t="n">
        <v>0.985</v>
      </c>
      <c r="G75" s="7" t="n">
        <v>0.7365</v>
      </c>
    </row>
    <row r="76" customFormat="false" ht="15" hidden="false" customHeight="false" outlineLevel="0" collapsed="false">
      <c r="A76" s="0" t="s">
        <v>33</v>
      </c>
      <c r="B76" s="0" t="s">
        <v>183</v>
      </c>
      <c r="C76" s="0" t="s">
        <v>290</v>
      </c>
      <c r="D76" s="0" t="s">
        <v>364</v>
      </c>
      <c r="E76" s="0" t="n">
        <v>1200</v>
      </c>
      <c r="F76" s="6" t="n">
        <v>0.99</v>
      </c>
      <c r="G76" s="7" t="n">
        <v>0.7105</v>
      </c>
    </row>
    <row r="77" customFormat="false" ht="15" hidden="false" customHeight="false" outlineLevel="0" collapsed="false">
      <c r="A77" s="0" t="s">
        <v>33</v>
      </c>
      <c r="B77" s="0" t="s">
        <v>183</v>
      </c>
      <c r="C77" s="0" t="s">
        <v>292</v>
      </c>
      <c r="D77" s="0" t="s">
        <v>365</v>
      </c>
      <c r="E77" s="0" t="n">
        <v>1200</v>
      </c>
      <c r="F77" s="6" t="n">
        <v>0.99</v>
      </c>
      <c r="G77" s="7" t="n">
        <v>0.788</v>
      </c>
    </row>
    <row r="78" customFormat="false" ht="15" hidden="false" customHeight="false" outlineLevel="0" collapsed="false">
      <c r="A78" s="0" t="s">
        <v>33</v>
      </c>
      <c r="B78" s="0" t="s">
        <v>183</v>
      </c>
      <c r="C78" s="0" t="s">
        <v>294</v>
      </c>
      <c r="D78" s="0" t="s">
        <v>366</v>
      </c>
      <c r="E78" s="0" t="n">
        <v>1200</v>
      </c>
      <c r="F78" s="6" t="n">
        <v>0.985833333333333</v>
      </c>
      <c r="G78" s="7" t="n">
        <v>0.72</v>
      </c>
    </row>
    <row r="79" customFormat="false" ht="15" hidden="false" customHeight="false" outlineLevel="0" collapsed="false">
      <c r="A79" s="0" t="s">
        <v>33</v>
      </c>
      <c r="B79" s="0" t="s">
        <v>183</v>
      </c>
      <c r="C79" s="0" t="s">
        <v>296</v>
      </c>
      <c r="D79" s="0" t="s">
        <v>367</v>
      </c>
      <c r="E79" s="0" t="n">
        <v>1200</v>
      </c>
      <c r="F79" s="6" t="n">
        <v>0.9825</v>
      </c>
      <c r="G79" s="7" t="n">
        <v>0.748</v>
      </c>
    </row>
    <row r="80" customFormat="false" ht="15" hidden="false" customHeight="false" outlineLevel="0" collapsed="false">
      <c r="A80" s="0" t="s">
        <v>33</v>
      </c>
      <c r="B80" s="0" t="s">
        <v>183</v>
      </c>
      <c r="C80" s="0" t="s">
        <v>298</v>
      </c>
      <c r="D80" s="0" t="s">
        <v>368</v>
      </c>
      <c r="E80" s="0" t="n">
        <v>1200</v>
      </c>
      <c r="F80" s="6" t="n">
        <v>0.983333333333333</v>
      </c>
      <c r="G80" s="7" t="n">
        <v>0.718</v>
      </c>
    </row>
    <row r="81" customFormat="false" ht="15" hidden="false" customHeight="false" outlineLevel="0" collapsed="false">
      <c r="A81" s="0" t="s">
        <v>33</v>
      </c>
      <c r="B81" s="0" t="s">
        <v>181</v>
      </c>
      <c r="C81" s="0" t="s">
        <v>286</v>
      </c>
      <c r="D81" s="0" t="s">
        <v>369</v>
      </c>
      <c r="E81" s="0" t="n">
        <v>1200</v>
      </c>
      <c r="F81" s="6" t="n">
        <v>0.9275</v>
      </c>
      <c r="G81" s="7" t="n">
        <v>1.125</v>
      </c>
    </row>
    <row r="82" customFormat="false" ht="15" hidden="false" customHeight="false" outlineLevel="0" collapsed="false">
      <c r="A82" s="0" t="s">
        <v>33</v>
      </c>
      <c r="B82" s="0" t="s">
        <v>181</v>
      </c>
      <c r="C82" s="0" t="s">
        <v>288</v>
      </c>
      <c r="D82" s="0" t="s">
        <v>370</v>
      </c>
      <c r="E82" s="0" t="n">
        <v>1200</v>
      </c>
      <c r="F82" s="6" t="n">
        <v>0.9925</v>
      </c>
      <c r="G82" s="7" t="n">
        <v>1.236</v>
      </c>
    </row>
    <row r="83" customFormat="false" ht="15" hidden="false" customHeight="false" outlineLevel="0" collapsed="false">
      <c r="A83" s="0" t="s">
        <v>33</v>
      </c>
      <c r="B83" s="0" t="s">
        <v>181</v>
      </c>
      <c r="C83" s="0" t="s">
        <v>290</v>
      </c>
      <c r="D83" s="0" t="s">
        <v>371</v>
      </c>
      <c r="E83" s="0" t="n">
        <v>1200</v>
      </c>
      <c r="F83" s="6" t="n">
        <v>0.984166666666667</v>
      </c>
      <c r="G83" s="7" t="n">
        <v>1.2</v>
      </c>
    </row>
    <row r="84" customFormat="false" ht="15" hidden="false" customHeight="false" outlineLevel="0" collapsed="false">
      <c r="A84" s="0" t="s">
        <v>33</v>
      </c>
      <c r="B84" s="0" t="s">
        <v>181</v>
      </c>
      <c r="C84" s="0" t="s">
        <v>292</v>
      </c>
      <c r="D84" s="0" t="s">
        <v>372</v>
      </c>
      <c r="E84" s="0" t="n">
        <v>1200</v>
      </c>
      <c r="F84" s="6" t="n">
        <v>0.980833333333333</v>
      </c>
      <c r="G84" s="7" t="n">
        <v>1.207</v>
      </c>
    </row>
    <row r="85" customFormat="false" ht="15" hidden="false" customHeight="false" outlineLevel="0" collapsed="false">
      <c r="A85" s="0" t="s">
        <v>33</v>
      </c>
      <c r="B85" s="0" t="s">
        <v>181</v>
      </c>
      <c r="C85" s="0" t="s">
        <v>294</v>
      </c>
      <c r="D85" s="0" t="s">
        <v>373</v>
      </c>
      <c r="E85" s="0" t="n">
        <v>1200</v>
      </c>
      <c r="F85" s="6" t="n">
        <v>0.990833333333333</v>
      </c>
      <c r="G85" s="7" t="n">
        <v>1.214</v>
      </c>
    </row>
    <row r="86" customFormat="false" ht="15" hidden="false" customHeight="false" outlineLevel="0" collapsed="false">
      <c r="A86" s="0" t="s">
        <v>33</v>
      </c>
      <c r="B86" s="0" t="s">
        <v>181</v>
      </c>
      <c r="C86" s="0" t="s">
        <v>296</v>
      </c>
      <c r="D86" s="0" t="s">
        <v>374</v>
      </c>
      <c r="E86" s="0" t="n">
        <v>1200</v>
      </c>
      <c r="F86" s="6" t="n">
        <v>0.985</v>
      </c>
      <c r="G86" s="7" t="n">
        <v>1.2605</v>
      </c>
    </row>
    <row r="87" customFormat="false" ht="15" hidden="false" customHeight="false" outlineLevel="0" collapsed="false">
      <c r="A87" s="0" t="s">
        <v>33</v>
      </c>
      <c r="B87" s="0" t="s">
        <v>181</v>
      </c>
      <c r="C87" s="0" t="s">
        <v>298</v>
      </c>
      <c r="D87" s="0" t="s">
        <v>375</v>
      </c>
      <c r="E87" s="0" t="n">
        <v>1200</v>
      </c>
      <c r="F87" s="6" t="n">
        <v>0.984166666666667</v>
      </c>
      <c r="G87" s="7" t="n">
        <v>1.272</v>
      </c>
    </row>
    <row r="88" customFormat="false" ht="15" hidden="false" customHeight="false" outlineLevel="0" collapsed="false">
      <c r="A88" s="0" t="s">
        <v>152</v>
      </c>
      <c r="B88" s="0" t="s">
        <v>182</v>
      </c>
      <c r="C88" s="0" t="s">
        <v>286</v>
      </c>
      <c r="D88" s="0" t="s">
        <v>376</v>
      </c>
      <c r="E88" s="0" t="n">
        <v>1200</v>
      </c>
      <c r="F88" s="6" t="n">
        <v>0.985</v>
      </c>
      <c r="G88" s="7" t="n">
        <v>0.727</v>
      </c>
    </row>
    <row r="89" customFormat="false" ht="15" hidden="false" customHeight="false" outlineLevel="0" collapsed="false">
      <c r="A89" s="0" t="s">
        <v>152</v>
      </c>
      <c r="B89" s="0" t="s">
        <v>182</v>
      </c>
      <c r="C89" s="0" t="s">
        <v>288</v>
      </c>
      <c r="D89" s="0" t="s">
        <v>377</v>
      </c>
      <c r="E89" s="0" t="n">
        <v>1200</v>
      </c>
      <c r="F89" s="6" t="n">
        <v>0.991666666666667</v>
      </c>
      <c r="G89" s="7" t="n">
        <v>0.704</v>
      </c>
    </row>
    <row r="90" customFormat="false" ht="15" hidden="false" customHeight="false" outlineLevel="0" collapsed="false">
      <c r="A90" s="0" t="s">
        <v>152</v>
      </c>
      <c r="B90" s="0" t="s">
        <v>182</v>
      </c>
      <c r="C90" s="0" t="s">
        <v>290</v>
      </c>
      <c r="D90" s="0" t="s">
        <v>343</v>
      </c>
      <c r="E90" s="0" t="n">
        <v>1200</v>
      </c>
      <c r="F90" s="6" t="n">
        <v>0.989166666666667</v>
      </c>
      <c r="G90" s="7" t="n">
        <v>0.741</v>
      </c>
    </row>
    <row r="91" customFormat="false" ht="15" hidden="false" customHeight="false" outlineLevel="0" collapsed="false">
      <c r="A91" s="0" t="s">
        <v>152</v>
      </c>
      <c r="B91" s="0" t="s">
        <v>182</v>
      </c>
      <c r="C91" s="0" t="s">
        <v>292</v>
      </c>
      <c r="D91" s="0" t="s">
        <v>378</v>
      </c>
      <c r="E91" s="0" t="n">
        <v>1200</v>
      </c>
      <c r="F91" s="6" t="n">
        <v>0.89</v>
      </c>
      <c r="G91" s="7" t="n">
        <v>1.29</v>
      </c>
    </row>
    <row r="92" customFormat="false" ht="15" hidden="false" customHeight="false" outlineLevel="0" collapsed="false">
      <c r="A92" s="0" t="s">
        <v>152</v>
      </c>
      <c r="B92" s="0" t="s">
        <v>182</v>
      </c>
      <c r="C92" s="0" t="s">
        <v>294</v>
      </c>
      <c r="D92" s="0" t="s">
        <v>379</v>
      </c>
      <c r="E92" s="0" t="n">
        <v>1200</v>
      </c>
      <c r="F92" s="6" t="n">
        <v>0.976666666666667</v>
      </c>
      <c r="G92" s="7" t="n">
        <v>0.8335</v>
      </c>
    </row>
    <row r="93" customFormat="false" ht="15" hidden="false" customHeight="false" outlineLevel="0" collapsed="false">
      <c r="A93" s="0" t="s">
        <v>152</v>
      </c>
      <c r="B93" s="0" t="s">
        <v>182</v>
      </c>
      <c r="C93" s="0" t="s">
        <v>296</v>
      </c>
      <c r="D93" s="0" t="s">
        <v>380</v>
      </c>
      <c r="E93" s="0" t="n">
        <v>1200</v>
      </c>
      <c r="F93" s="6" t="n">
        <v>0.99</v>
      </c>
      <c r="G93" s="7" t="n">
        <v>0.688</v>
      </c>
    </row>
    <row r="94" customFormat="false" ht="15" hidden="false" customHeight="false" outlineLevel="0" collapsed="false">
      <c r="A94" s="0" t="s">
        <v>152</v>
      </c>
      <c r="B94" s="0" t="s">
        <v>182</v>
      </c>
      <c r="C94" s="0" t="s">
        <v>298</v>
      </c>
      <c r="D94" s="0" t="s">
        <v>381</v>
      </c>
      <c r="E94" s="0" t="n">
        <v>1200</v>
      </c>
      <c r="F94" s="6" t="n">
        <v>0.994166666666667</v>
      </c>
      <c r="G94" s="7" t="n">
        <v>0.857</v>
      </c>
    </row>
    <row r="95" customFormat="false" ht="15" hidden="false" customHeight="false" outlineLevel="0" collapsed="false">
      <c r="A95" s="0" t="s">
        <v>152</v>
      </c>
      <c r="B95" s="0" t="s">
        <v>183</v>
      </c>
      <c r="C95" s="0" t="s">
        <v>286</v>
      </c>
      <c r="D95" s="0" t="s">
        <v>307</v>
      </c>
      <c r="E95" s="0" t="n">
        <v>1200</v>
      </c>
      <c r="F95" s="6" t="n">
        <v>0.986666666666667</v>
      </c>
      <c r="G95" s="7" t="n">
        <v>1.3345</v>
      </c>
    </row>
    <row r="96" customFormat="false" ht="15" hidden="false" customHeight="false" outlineLevel="0" collapsed="false">
      <c r="A96" s="0" t="s">
        <v>152</v>
      </c>
      <c r="B96" s="0" t="s">
        <v>183</v>
      </c>
      <c r="C96" s="0" t="s">
        <v>288</v>
      </c>
      <c r="D96" s="0" t="s">
        <v>382</v>
      </c>
      <c r="E96" s="0" t="n">
        <v>1200</v>
      </c>
      <c r="F96" s="6" t="n">
        <v>0.988333333333333</v>
      </c>
      <c r="G96" s="7" t="n">
        <v>1.3585</v>
      </c>
    </row>
    <row r="97" customFormat="false" ht="15" hidden="false" customHeight="false" outlineLevel="0" collapsed="false">
      <c r="A97" s="0" t="s">
        <v>152</v>
      </c>
      <c r="B97" s="0" t="s">
        <v>183</v>
      </c>
      <c r="C97" s="0" t="s">
        <v>290</v>
      </c>
      <c r="D97" s="0" t="s">
        <v>383</v>
      </c>
      <c r="E97" s="0" t="n">
        <v>1200</v>
      </c>
      <c r="F97" s="6" t="n">
        <v>0.9875</v>
      </c>
      <c r="G97" s="7" t="n">
        <v>1.336</v>
      </c>
    </row>
    <row r="98" customFormat="false" ht="15" hidden="false" customHeight="false" outlineLevel="0" collapsed="false">
      <c r="A98" s="0" t="s">
        <v>152</v>
      </c>
      <c r="B98" s="0" t="s">
        <v>183</v>
      </c>
      <c r="C98" s="0" t="s">
        <v>292</v>
      </c>
      <c r="D98" s="0" t="s">
        <v>384</v>
      </c>
      <c r="E98" s="0" t="n">
        <v>1200</v>
      </c>
      <c r="F98" s="6" t="n">
        <v>0.856666666666667</v>
      </c>
      <c r="G98" s="7" t="n">
        <v>2.1285</v>
      </c>
    </row>
    <row r="99" customFormat="false" ht="15" hidden="false" customHeight="false" outlineLevel="0" collapsed="false">
      <c r="A99" s="0" t="s">
        <v>152</v>
      </c>
      <c r="B99" s="0" t="s">
        <v>183</v>
      </c>
      <c r="C99" s="0" t="s">
        <v>294</v>
      </c>
      <c r="D99" s="0" t="s">
        <v>385</v>
      </c>
      <c r="E99" s="0" t="n">
        <v>1200</v>
      </c>
      <c r="F99" s="6" t="n">
        <v>0.986666666666667</v>
      </c>
      <c r="G99" s="7" t="n">
        <v>1.3585</v>
      </c>
    </row>
    <row r="100" customFormat="false" ht="15" hidden="false" customHeight="false" outlineLevel="0" collapsed="false">
      <c r="A100" s="0" t="s">
        <v>152</v>
      </c>
      <c r="B100" s="0" t="s">
        <v>183</v>
      </c>
      <c r="C100" s="0" t="s">
        <v>296</v>
      </c>
      <c r="D100" s="0" t="s">
        <v>386</v>
      </c>
      <c r="E100" s="0" t="n">
        <v>1200</v>
      </c>
      <c r="F100" s="6" t="n">
        <v>0.989166666666667</v>
      </c>
      <c r="G100" s="7" t="n">
        <v>1.272</v>
      </c>
    </row>
    <row r="101" customFormat="false" ht="15" hidden="false" customHeight="false" outlineLevel="0" collapsed="false">
      <c r="A101" s="0" t="s">
        <v>152</v>
      </c>
      <c r="B101" s="0" t="s">
        <v>183</v>
      </c>
      <c r="C101" s="0" t="s">
        <v>298</v>
      </c>
      <c r="D101" s="0" t="s">
        <v>387</v>
      </c>
      <c r="E101" s="0" t="n">
        <v>1200</v>
      </c>
      <c r="F101" s="6" t="n">
        <v>0.989166666666667</v>
      </c>
      <c r="G101" s="7" t="n">
        <v>1.293</v>
      </c>
    </row>
    <row r="102" customFormat="false" ht="15" hidden="false" customHeight="false" outlineLevel="0" collapsed="false">
      <c r="A102" s="0" t="s">
        <v>152</v>
      </c>
      <c r="B102" s="0" t="s">
        <v>181</v>
      </c>
      <c r="C102" s="0" t="s">
        <v>286</v>
      </c>
      <c r="D102" s="0" t="s">
        <v>388</v>
      </c>
      <c r="E102" s="0" t="n">
        <v>1200</v>
      </c>
      <c r="F102" s="6" t="n">
        <v>0.989166666666667</v>
      </c>
      <c r="G102" s="7" t="n">
        <v>1.007</v>
      </c>
    </row>
    <row r="103" customFormat="false" ht="15" hidden="false" customHeight="false" outlineLevel="0" collapsed="false">
      <c r="A103" s="0" t="s">
        <v>152</v>
      </c>
      <c r="B103" s="0" t="s">
        <v>181</v>
      </c>
      <c r="C103" s="0" t="s">
        <v>288</v>
      </c>
      <c r="D103" s="0" t="s">
        <v>389</v>
      </c>
      <c r="E103" s="0" t="n">
        <v>1200</v>
      </c>
      <c r="F103" s="6" t="n">
        <v>0.994166666666667</v>
      </c>
      <c r="G103" s="7" t="n">
        <v>1.085</v>
      </c>
    </row>
    <row r="104" customFormat="false" ht="15" hidden="false" customHeight="false" outlineLevel="0" collapsed="false">
      <c r="A104" s="0" t="s">
        <v>152</v>
      </c>
      <c r="B104" s="0" t="s">
        <v>181</v>
      </c>
      <c r="C104" s="0" t="s">
        <v>290</v>
      </c>
      <c r="D104" s="0" t="s">
        <v>390</v>
      </c>
      <c r="E104" s="0" t="n">
        <v>1200</v>
      </c>
      <c r="F104" s="6" t="n">
        <v>0.985</v>
      </c>
      <c r="G104" s="7" t="n">
        <v>1.0125</v>
      </c>
    </row>
    <row r="105" customFormat="false" ht="15" hidden="false" customHeight="false" outlineLevel="0" collapsed="false">
      <c r="A105" s="0" t="s">
        <v>152</v>
      </c>
      <c r="B105" s="0" t="s">
        <v>181</v>
      </c>
      <c r="C105" s="0" t="s">
        <v>292</v>
      </c>
      <c r="D105" s="0" t="s">
        <v>391</v>
      </c>
      <c r="E105" s="0" t="n">
        <v>1200</v>
      </c>
      <c r="F105" s="6" t="n">
        <v>0.85</v>
      </c>
      <c r="G105" s="7" t="n">
        <v>1.868</v>
      </c>
    </row>
    <row r="106" customFormat="false" ht="15" hidden="false" customHeight="false" outlineLevel="0" collapsed="false">
      <c r="A106" s="0" t="s">
        <v>152</v>
      </c>
      <c r="B106" s="0" t="s">
        <v>181</v>
      </c>
      <c r="C106" s="0" t="s">
        <v>294</v>
      </c>
      <c r="D106" s="0" t="s">
        <v>392</v>
      </c>
      <c r="E106" s="0" t="n">
        <v>1200</v>
      </c>
      <c r="F106" s="6" t="n">
        <v>0.978333333333333</v>
      </c>
      <c r="G106" s="7" t="n">
        <v>1.1425</v>
      </c>
    </row>
    <row r="107" customFormat="false" ht="15" hidden="false" customHeight="false" outlineLevel="0" collapsed="false">
      <c r="A107" s="0" t="s">
        <v>152</v>
      </c>
      <c r="B107" s="0" t="s">
        <v>181</v>
      </c>
      <c r="C107" s="0" t="s">
        <v>296</v>
      </c>
      <c r="D107" s="0" t="s">
        <v>393</v>
      </c>
      <c r="E107" s="0" t="n">
        <v>1200</v>
      </c>
      <c r="F107" s="6" t="n">
        <v>0.991666666666667</v>
      </c>
      <c r="G107" s="7" t="n">
        <v>1.0095</v>
      </c>
    </row>
    <row r="108" customFormat="false" ht="15" hidden="false" customHeight="false" outlineLevel="0" collapsed="false">
      <c r="A108" s="0" t="s">
        <v>152</v>
      </c>
      <c r="B108" s="0" t="s">
        <v>181</v>
      </c>
      <c r="C108" s="0" t="s">
        <v>298</v>
      </c>
      <c r="D108" s="0" t="s">
        <v>394</v>
      </c>
      <c r="E108" s="0" t="n">
        <v>1200</v>
      </c>
      <c r="F108" s="6" t="n">
        <v>0.993333333333333</v>
      </c>
      <c r="G108" s="7" t="n">
        <v>1.0205</v>
      </c>
    </row>
    <row r="109" customFormat="false" ht="15" hidden="false" customHeight="false" outlineLevel="0" collapsed="false">
      <c r="A109" s="0" t="s">
        <v>163</v>
      </c>
      <c r="B109" s="0" t="s">
        <v>182</v>
      </c>
      <c r="C109" s="0" t="s">
        <v>286</v>
      </c>
      <c r="D109" s="0" t="s">
        <v>395</v>
      </c>
      <c r="E109" s="0" t="n">
        <v>1200</v>
      </c>
      <c r="F109" s="6" t="n">
        <v>0.999166666666667</v>
      </c>
      <c r="G109" s="7" t="n">
        <v>0.872</v>
      </c>
    </row>
    <row r="110" customFormat="false" ht="15" hidden="false" customHeight="false" outlineLevel="0" collapsed="false">
      <c r="A110" s="0" t="s">
        <v>163</v>
      </c>
      <c r="B110" s="0" t="s">
        <v>182</v>
      </c>
      <c r="C110" s="0" t="s">
        <v>288</v>
      </c>
      <c r="D110" s="0" t="s">
        <v>396</v>
      </c>
      <c r="E110" s="0" t="n">
        <v>1200</v>
      </c>
      <c r="F110" s="6" t="n">
        <v>0.990833333333333</v>
      </c>
      <c r="G110" s="7" t="n">
        <v>0.86</v>
      </c>
    </row>
    <row r="111" customFormat="false" ht="15" hidden="false" customHeight="false" outlineLevel="0" collapsed="false">
      <c r="A111" s="0" t="s">
        <v>163</v>
      </c>
      <c r="B111" s="0" t="s">
        <v>182</v>
      </c>
      <c r="C111" s="0" t="s">
        <v>290</v>
      </c>
      <c r="D111" s="0" t="s">
        <v>397</v>
      </c>
      <c r="E111" s="0" t="n">
        <v>1200</v>
      </c>
      <c r="F111" s="6" t="n">
        <v>0.999166666666667</v>
      </c>
      <c r="G111" s="7" t="n">
        <v>0.883</v>
      </c>
    </row>
    <row r="112" customFormat="false" ht="15" hidden="false" customHeight="false" outlineLevel="0" collapsed="false">
      <c r="A112" s="0" t="s">
        <v>163</v>
      </c>
      <c r="B112" s="0" t="s">
        <v>182</v>
      </c>
      <c r="C112" s="0" t="s">
        <v>292</v>
      </c>
      <c r="D112" s="0" t="s">
        <v>398</v>
      </c>
      <c r="E112" s="0" t="n">
        <v>1200</v>
      </c>
      <c r="F112" s="6" t="n">
        <v>0.995833333333333</v>
      </c>
      <c r="G112" s="7" t="n">
        <v>0.872</v>
      </c>
    </row>
    <row r="113" customFormat="false" ht="15" hidden="false" customHeight="false" outlineLevel="0" collapsed="false">
      <c r="A113" s="0" t="s">
        <v>163</v>
      </c>
      <c r="B113" s="0" t="s">
        <v>182</v>
      </c>
      <c r="C113" s="0" t="s">
        <v>294</v>
      </c>
      <c r="D113" s="0" t="s">
        <v>399</v>
      </c>
      <c r="E113" s="0" t="n">
        <v>1200</v>
      </c>
      <c r="F113" s="6" t="n">
        <v>0.996666666666667</v>
      </c>
      <c r="G113" s="7" t="n">
        <v>0.938</v>
      </c>
    </row>
    <row r="114" customFormat="false" ht="15" hidden="false" customHeight="false" outlineLevel="0" collapsed="false">
      <c r="A114" s="0" t="s">
        <v>163</v>
      </c>
      <c r="B114" s="0" t="s">
        <v>182</v>
      </c>
      <c r="C114" s="0" t="s">
        <v>296</v>
      </c>
      <c r="D114" s="0" t="s">
        <v>400</v>
      </c>
      <c r="E114" s="0" t="n">
        <v>1200</v>
      </c>
      <c r="F114" s="6" t="n">
        <v>0.996666666666667</v>
      </c>
      <c r="G114" s="7" t="n">
        <v>0.923</v>
      </c>
    </row>
    <row r="115" customFormat="false" ht="15" hidden="false" customHeight="false" outlineLevel="0" collapsed="false">
      <c r="A115" s="0" t="s">
        <v>163</v>
      </c>
      <c r="B115" s="0" t="s">
        <v>182</v>
      </c>
      <c r="C115" s="0" t="s">
        <v>298</v>
      </c>
      <c r="D115" s="0" t="s">
        <v>401</v>
      </c>
      <c r="E115" s="0" t="n">
        <v>1200</v>
      </c>
      <c r="F115" s="6" t="n">
        <v>0.996666666666667</v>
      </c>
      <c r="G115" s="7" t="n">
        <v>1.0525</v>
      </c>
    </row>
    <row r="116" customFormat="false" ht="15" hidden="false" customHeight="false" outlineLevel="0" collapsed="false">
      <c r="A116" s="0" t="s">
        <v>163</v>
      </c>
      <c r="B116" s="0" t="s">
        <v>183</v>
      </c>
      <c r="C116" s="0" t="s">
        <v>286</v>
      </c>
      <c r="D116" s="0" t="s">
        <v>402</v>
      </c>
      <c r="E116" s="0" t="n">
        <v>1200</v>
      </c>
      <c r="F116" s="6" t="n">
        <v>0.996666666666667</v>
      </c>
      <c r="G116" s="7" t="n">
        <v>1.3775</v>
      </c>
    </row>
    <row r="117" customFormat="false" ht="15" hidden="false" customHeight="false" outlineLevel="0" collapsed="false">
      <c r="A117" s="0" t="s">
        <v>163</v>
      </c>
      <c r="B117" s="0" t="s">
        <v>183</v>
      </c>
      <c r="C117" s="0" t="s">
        <v>288</v>
      </c>
      <c r="D117" s="0" t="s">
        <v>403</v>
      </c>
      <c r="E117" s="0" t="n">
        <v>1200</v>
      </c>
      <c r="F117" s="6" t="n">
        <v>0.998333333333333</v>
      </c>
      <c r="G117" s="7" t="n">
        <v>1.3895</v>
      </c>
    </row>
    <row r="118" customFormat="false" ht="15" hidden="false" customHeight="false" outlineLevel="0" collapsed="false">
      <c r="A118" s="0" t="s">
        <v>163</v>
      </c>
      <c r="B118" s="0" t="s">
        <v>183</v>
      </c>
      <c r="C118" s="0" t="s">
        <v>290</v>
      </c>
      <c r="D118" s="0" t="s">
        <v>404</v>
      </c>
      <c r="E118" s="0" t="n">
        <v>1200</v>
      </c>
      <c r="F118" s="6" t="n">
        <v>0.999166666666667</v>
      </c>
      <c r="G118" s="7" t="n">
        <v>1.344</v>
      </c>
    </row>
    <row r="119" customFormat="false" ht="15" hidden="false" customHeight="false" outlineLevel="0" collapsed="false">
      <c r="A119" s="0" t="s">
        <v>163</v>
      </c>
      <c r="B119" s="0" t="s">
        <v>183</v>
      </c>
      <c r="C119" s="0" t="s">
        <v>292</v>
      </c>
      <c r="D119" s="0" t="s">
        <v>405</v>
      </c>
      <c r="E119" s="0" t="n">
        <v>1200</v>
      </c>
      <c r="F119" s="6" t="n">
        <v>0.995</v>
      </c>
      <c r="G119" s="7" t="n">
        <v>1.387</v>
      </c>
    </row>
    <row r="120" customFormat="false" ht="15" hidden="false" customHeight="false" outlineLevel="0" collapsed="false">
      <c r="A120" s="0" t="s">
        <v>163</v>
      </c>
      <c r="B120" s="0" t="s">
        <v>183</v>
      </c>
      <c r="C120" s="0" t="s">
        <v>294</v>
      </c>
      <c r="D120" s="0" t="s">
        <v>406</v>
      </c>
      <c r="E120" s="0" t="n">
        <v>1200</v>
      </c>
      <c r="F120" s="6" t="n">
        <v>0.998333333333333</v>
      </c>
      <c r="G120" s="7" t="n">
        <v>1.4075</v>
      </c>
    </row>
    <row r="121" customFormat="false" ht="15" hidden="false" customHeight="false" outlineLevel="0" collapsed="false">
      <c r="A121" s="0" t="s">
        <v>163</v>
      </c>
      <c r="B121" s="0" t="s">
        <v>183</v>
      </c>
      <c r="C121" s="0" t="s">
        <v>296</v>
      </c>
      <c r="D121" s="0" t="s">
        <v>297</v>
      </c>
      <c r="E121" s="0" t="n">
        <v>1200</v>
      </c>
      <c r="F121" s="6" t="n">
        <v>0.994166666666667</v>
      </c>
      <c r="G121" s="7" t="n">
        <v>1.398</v>
      </c>
    </row>
    <row r="122" customFormat="false" ht="15" hidden="false" customHeight="false" outlineLevel="0" collapsed="false">
      <c r="A122" s="0" t="s">
        <v>163</v>
      </c>
      <c r="B122" s="0" t="s">
        <v>183</v>
      </c>
      <c r="C122" s="0" t="s">
        <v>298</v>
      </c>
      <c r="D122" s="0" t="s">
        <v>407</v>
      </c>
      <c r="E122" s="0" t="n">
        <v>1200</v>
      </c>
      <c r="F122" s="6" t="n">
        <v>0.991666666666667</v>
      </c>
      <c r="G122" s="7" t="n">
        <v>1.3475</v>
      </c>
    </row>
    <row r="123" customFormat="false" ht="15" hidden="false" customHeight="false" outlineLevel="0" collapsed="false">
      <c r="A123" s="0" t="s">
        <v>163</v>
      </c>
      <c r="B123" s="0" t="s">
        <v>181</v>
      </c>
      <c r="C123" s="0" t="s">
        <v>286</v>
      </c>
      <c r="D123" s="0" t="s">
        <v>408</v>
      </c>
      <c r="E123" s="0" t="n">
        <v>1200</v>
      </c>
      <c r="F123" s="6" t="n">
        <v>0.996666666666667</v>
      </c>
      <c r="G123" s="7" t="n">
        <v>1.2565</v>
      </c>
    </row>
    <row r="124" customFormat="false" ht="15" hidden="false" customHeight="false" outlineLevel="0" collapsed="false">
      <c r="A124" s="0" t="s">
        <v>163</v>
      </c>
      <c r="B124" s="0" t="s">
        <v>181</v>
      </c>
      <c r="C124" s="0" t="s">
        <v>288</v>
      </c>
      <c r="D124" s="0" t="s">
        <v>409</v>
      </c>
      <c r="E124" s="0" t="n">
        <v>1200</v>
      </c>
      <c r="F124" s="6" t="n">
        <v>0.965</v>
      </c>
      <c r="G124" s="7" t="n">
        <v>1.2225</v>
      </c>
    </row>
    <row r="125" customFormat="false" ht="15" hidden="false" customHeight="false" outlineLevel="0" collapsed="false">
      <c r="A125" s="0" t="s">
        <v>163</v>
      </c>
      <c r="B125" s="0" t="s">
        <v>181</v>
      </c>
      <c r="C125" s="0" t="s">
        <v>290</v>
      </c>
      <c r="D125" s="0" t="s">
        <v>410</v>
      </c>
      <c r="E125" s="0" t="n">
        <v>1200</v>
      </c>
      <c r="F125" s="6" t="n">
        <v>0.998333333333333</v>
      </c>
      <c r="G125" s="7" t="n">
        <v>1.213</v>
      </c>
    </row>
    <row r="126" customFormat="false" ht="15" hidden="false" customHeight="false" outlineLevel="0" collapsed="false">
      <c r="A126" s="0" t="s">
        <v>163</v>
      </c>
      <c r="B126" s="0" t="s">
        <v>181</v>
      </c>
      <c r="C126" s="0" t="s">
        <v>292</v>
      </c>
      <c r="D126" s="0" t="s">
        <v>411</v>
      </c>
      <c r="E126" s="0" t="n">
        <v>1200</v>
      </c>
      <c r="F126" s="6" t="n">
        <v>0.988333333333333</v>
      </c>
      <c r="G126" s="7" t="n">
        <v>1.1685</v>
      </c>
    </row>
    <row r="127" customFormat="false" ht="15" hidden="false" customHeight="false" outlineLevel="0" collapsed="false">
      <c r="A127" s="0" t="s">
        <v>163</v>
      </c>
      <c r="B127" s="0" t="s">
        <v>181</v>
      </c>
      <c r="C127" s="0" t="s">
        <v>294</v>
      </c>
      <c r="D127" s="0" t="s">
        <v>412</v>
      </c>
      <c r="E127" s="0" t="n">
        <v>1200</v>
      </c>
      <c r="F127" s="6" t="n">
        <v>0.9975</v>
      </c>
      <c r="G127" s="7" t="n">
        <v>1.245</v>
      </c>
    </row>
    <row r="128" customFormat="false" ht="15" hidden="false" customHeight="false" outlineLevel="0" collapsed="false">
      <c r="A128" s="0" t="s">
        <v>163</v>
      </c>
      <c r="B128" s="0" t="s">
        <v>181</v>
      </c>
      <c r="C128" s="0" t="s">
        <v>296</v>
      </c>
      <c r="D128" s="0" t="s">
        <v>413</v>
      </c>
      <c r="E128" s="0" t="n">
        <v>1200</v>
      </c>
      <c r="F128" s="6" t="n">
        <v>0.995</v>
      </c>
      <c r="G128" s="7" t="n">
        <v>1.1395</v>
      </c>
    </row>
    <row r="129" customFormat="false" ht="15" hidden="false" customHeight="false" outlineLevel="0" collapsed="false">
      <c r="A129" s="0" t="s">
        <v>163</v>
      </c>
      <c r="B129" s="0" t="s">
        <v>181</v>
      </c>
      <c r="C129" s="0" t="s">
        <v>298</v>
      </c>
      <c r="D129" s="0" t="s">
        <v>414</v>
      </c>
      <c r="E129" s="0" t="n">
        <v>1200</v>
      </c>
      <c r="F129" s="6" t="n">
        <v>0.996666666666667</v>
      </c>
      <c r="G129" s="7" t="n">
        <v>1.193</v>
      </c>
    </row>
    <row r="130" customFormat="false" ht="15" hidden="false" customHeight="false" outlineLevel="0" collapsed="false">
      <c r="A130" s="0" t="s">
        <v>115</v>
      </c>
      <c r="B130" s="0" t="s">
        <v>182</v>
      </c>
      <c r="C130" s="0" t="s">
        <v>286</v>
      </c>
      <c r="D130" s="0" t="s">
        <v>415</v>
      </c>
      <c r="E130" s="0" t="n">
        <v>1200</v>
      </c>
      <c r="F130" s="6" t="n">
        <v>0.995</v>
      </c>
      <c r="G130" s="7" t="n">
        <v>0.679</v>
      </c>
    </row>
    <row r="131" customFormat="false" ht="15" hidden="false" customHeight="false" outlineLevel="0" collapsed="false">
      <c r="A131" s="0" t="s">
        <v>115</v>
      </c>
      <c r="B131" s="0" t="s">
        <v>182</v>
      </c>
      <c r="C131" s="0" t="s">
        <v>288</v>
      </c>
      <c r="D131" s="0" t="s">
        <v>416</v>
      </c>
      <c r="E131" s="0" t="n">
        <v>1200</v>
      </c>
      <c r="F131" s="6" t="n">
        <v>0.994166666666667</v>
      </c>
      <c r="G131" s="7" t="n">
        <v>0.612</v>
      </c>
    </row>
    <row r="132" customFormat="false" ht="15" hidden="false" customHeight="false" outlineLevel="0" collapsed="false">
      <c r="A132" s="0" t="s">
        <v>115</v>
      </c>
      <c r="B132" s="0" t="s">
        <v>182</v>
      </c>
      <c r="C132" s="0" t="s">
        <v>290</v>
      </c>
      <c r="D132" s="0" t="s">
        <v>417</v>
      </c>
      <c r="E132" s="0" t="n">
        <v>1200</v>
      </c>
      <c r="F132" s="6" t="n">
        <v>0.994166666666667</v>
      </c>
      <c r="G132" s="7" t="n">
        <v>0.571</v>
      </c>
    </row>
    <row r="133" customFormat="false" ht="15" hidden="false" customHeight="false" outlineLevel="0" collapsed="false">
      <c r="A133" s="0" t="s">
        <v>115</v>
      </c>
      <c r="B133" s="0" t="s">
        <v>182</v>
      </c>
      <c r="C133" s="0" t="s">
        <v>292</v>
      </c>
      <c r="D133" s="0" t="s">
        <v>418</v>
      </c>
      <c r="E133" s="0" t="n">
        <v>1200</v>
      </c>
      <c r="F133" s="6" t="n">
        <v>0.990833333333333</v>
      </c>
      <c r="G133" s="7" t="n">
        <v>0.633</v>
      </c>
    </row>
    <row r="134" customFormat="false" ht="15" hidden="false" customHeight="false" outlineLevel="0" collapsed="false">
      <c r="A134" s="0" t="s">
        <v>115</v>
      </c>
      <c r="B134" s="0" t="s">
        <v>182</v>
      </c>
      <c r="C134" s="0" t="s">
        <v>294</v>
      </c>
      <c r="D134" s="0" t="s">
        <v>419</v>
      </c>
      <c r="E134" s="0" t="n">
        <v>1200</v>
      </c>
      <c r="F134" s="6" t="n">
        <v>0.9975</v>
      </c>
      <c r="G134" s="7" t="n">
        <v>0.572</v>
      </c>
    </row>
    <row r="135" customFormat="false" ht="15" hidden="false" customHeight="false" outlineLevel="0" collapsed="false">
      <c r="A135" s="0" t="s">
        <v>115</v>
      </c>
      <c r="B135" s="0" t="s">
        <v>182</v>
      </c>
      <c r="C135" s="0" t="s">
        <v>296</v>
      </c>
      <c r="D135" s="0" t="s">
        <v>420</v>
      </c>
      <c r="E135" s="0" t="n">
        <v>1200</v>
      </c>
      <c r="F135" s="6" t="n">
        <v>0.998333333333333</v>
      </c>
      <c r="G135" s="7" t="n">
        <v>0.616</v>
      </c>
    </row>
    <row r="136" customFormat="false" ht="15" hidden="false" customHeight="false" outlineLevel="0" collapsed="false">
      <c r="A136" s="0" t="s">
        <v>115</v>
      </c>
      <c r="B136" s="0" t="s">
        <v>182</v>
      </c>
      <c r="C136" s="0" t="s">
        <v>298</v>
      </c>
      <c r="D136" s="0" t="s">
        <v>421</v>
      </c>
      <c r="E136" s="0" t="n">
        <v>1200</v>
      </c>
      <c r="F136" s="6" t="n">
        <v>0.9975</v>
      </c>
      <c r="G136" s="7" t="n">
        <v>0.772</v>
      </c>
    </row>
    <row r="137" customFormat="false" ht="15" hidden="false" customHeight="false" outlineLevel="0" collapsed="false">
      <c r="A137" s="0" t="s">
        <v>115</v>
      </c>
      <c r="B137" s="0" t="s">
        <v>183</v>
      </c>
      <c r="C137" s="0" t="s">
        <v>286</v>
      </c>
      <c r="D137" s="0" t="s">
        <v>422</v>
      </c>
      <c r="E137" s="0" t="n">
        <v>1200</v>
      </c>
      <c r="F137" s="6" t="n">
        <v>0.998333333333333</v>
      </c>
      <c r="G137" s="7" t="n">
        <v>1.0875</v>
      </c>
    </row>
    <row r="138" customFormat="false" ht="15" hidden="false" customHeight="false" outlineLevel="0" collapsed="false">
      <c r="A138" s="0" t="s">
        <v>115</v>
      </c>
      <c r="B138" s="0" t="s">
        <v>183</v>
      </c>
      <c r="C138" s="0" t="s">
        <v>288</v>
      </c>
      <c r="D138" s="0" t="s">
        <v>423</v>
      </c>
      <c r="E138" s="0" t="n">
        <v>1200</v>
      </c>
      <c r="F138" s="6" t="n">
        <v>0.9975</v>
      </c>
      <c r="G138" s="7" t="n">
        <v>1.149</v>
      </c>
    </row>
    <row r="139" customFormat="false" ht="15" hidden="false" customHeight="false" outlineLevel="0" collapsed="false">
      <c r="A139" s="0" t="s">
        <v>115</v>
      </c>
      <c r="B139" s="0" t="s">
        <v>183</v>
      </c>
      <c r="C139" s="0" t="s">
        <v>290</v>
      </c>
      <c r="D139" s="0" t="s">
        <v>424</v>
      </c>
      <c r="E139" s="0" t="n">
        <v>1200</v>
      </c>
      <c r="F139" s="6" t="n">
        <v>0.9975</v>
      </c>
      <c r="G139" s="7" t="n">
        <v>1.133</v>
      </c>
    </row>
    <row r="140" customFormat="false" ht="15" hidden="false" customHeight="false" outlineLevel="0" collapsed="false">
      <c r="A140" s="0" t="s">
        <v>115</v>
      </c>
      <c r="B140" s="0" t="s">
        <v>183</v>
      </c>
      <c r="C140" s="0" t="s">
        <v>292</v>
      </c>
      <c r="D140" s="0" t="s">
        <v>425</v>
      </c>
      <c r="E140" s="0" t="n">
        <v>1200</v>
      </c>
      <c r="F140" s="6" t="n">
        <v>0.993333333333333</v>
      </c>
      <c r="G140" s="7" t="n">
        <v>1.149</v>
      </c>
    </row>
    <row r="141" customFormat="false" ht="15" hidden="false" customHeight="false" outlineLevel="0" collapsed="false">
      <c r="A141" s="0" t="s">
        <v>115</v>
      </c>
      <c r="B141" s="0" t="s">
        <v>183</v>
      </c>
      <c r="C141" s="0" t="s">
        <v>294</v>
      </c>
      <c r="D141" s="0" t="s">
        <v>412</v>
      </c>
      <c r="E141" s="0" t="n">
        <v>1200</v>
      </c>
      <c r="F141" s="6" t="n">
        <v>0.998333333333333</v>
      </c>
      <c r="G141" s="7" t="n">
        <v>1.1185</v>
      </c>
    </row>
    <row r="142" customFormat="false" ht="15" hidden="false" customHeight="false" outlineLevel="0" collapsed="false">
      <c r="A142" s="0" t="s">
        <v>115</v>
      </c>
      <c r="B142" s="0" t="s">
        <v>183</v>
      </c>
      <c r="C142" s="0" t="s">
        <v>296</v>
      </c>
      <c r="D142" s="0" t="s">
        <v>380</v>
      </c>
      <c r="E142" s="0" t="n">
        <v>1200</v>
      </c>
      <c r="F142" s="6" t="n">
        <v>0.995</v>
      </c>
      <c r="G142" s="7" t="n">
        <v>1.167</v>
      </c>
    </row>
    <row r="143" customFormat="false" ht="15" hidden="false" customHeight="false" outlineLevel="0" collapsed="false">
      <c r="A143" s="0" t="s">
        <v>115</v>
      </c>
      <c r="B143" s="0" t="s">
        <v>183</v>
      </c>
      <c r="C143" s="0" t="s">
        <v>298</v>
      </c>
      <c r="D143" s="0" t="s">
        <v>426</v>
      </c>
      <c r="E143" s="0" t="n">
        <v>1200</v>
      </c>
      <c r="F143" s="6" t="n">
        <v>0.998333333333333</v>
      </c>
      <c r="G143" s="7" t="n">
        <v>1.1305</v>
      </c>
    </row>
    <row r="144" customFormat="false" ht="15" hidden="false" customHeight="false" outlineLevel="0" collapsed="false">
      <c r="A144" s="0" t="s">
        <v>115</v>
      </c>
      <c r="B144" s="0" t="s">
        <v>181</v>
      </c>
      <c r="C144" s="0" t="s">
        <v>286</v>
      </c>
      <c r="D144" s="0" t="s">
        <v>427</v>
      </c>
      <c r="E144" s="0" t="n">
        <v>1200</v>
      </c>
      <c r="F144" s="6" t="n">
        <v>0.998333333333333</v>
      </c>
      <c r="G144" s="7" t="n">
        <v>1.0315</v>
      </c>
    </row>
    <row r="145" customFormat="false" ht="15" hidden="false" customHeight="false" outlineLevel="0" collapsed="false">
      <c r="A145" s="0" t="s">
        <v>115</v>
      </c>
      <c r="B145" s="0" t="s">
        <v>181</v>
      </c>
      <c r="C145" s="0" t="s">
        <v>288</v>
      </c>
      <c r="D145" s="0" t="s">
        <v>428</v>
      </c>
      <c r="E145" s="0" t="n">
        <v>1200</v>
      </c>
      <c r="F145" s="6" t="n">
        <v>0.9925</v>
      </c>
      <c r="G145" s="7" t="n">
        <v>1.002</v>
      </c>
    </row>
    <row r="146" customFormat="false" ht="15" hidden="false" customHeight="false" outlineLevel="0" collapsed="false">
      <c r="A146" s="0" t="s">
        <v>115</v>
      </c>
      <c r="B146" s="0" t="s">
        <v>181</v>
      </c>
      <c r="C146" s="0" t="s">
        <v>290</v>
      </c>
      <c r="D146" s="0" t="s">
        <v>343</v>
      </c>
      <c r="E146" s="0" t="n">
        <v>1200</v>
      </c>
      <c r="F146" s="6" t="n">
        <v>0.998333333333333</v>
      </c>
      <c r="G146" s="7" t="n">
        <v>0.9845</v>
      </c>
    </row>
    <row r="147" customFormat="false" ht="15" hidden="false" customHeight="false" outlineLevel="0" collapsed="false">
      <c r="A147" s="0" t="s">
        <v>115</v>
      </c>
      <c r="B147" s="0" t="s">
        <v>181</v>
      </c>
      <c r="C147" s="0" t="s">
        <v>292</v>
      </c>
      <c r="D147" s="0" t="s">
        <v>429</v>
      </c>
      <c r="E147" s="0" t="n">
        <v>1200</v>
      </c>
      <c r="F147" s="6" t="n">
        <v>0.993333333333333</v>
      </c>
      <c r="G147" s="7" t="n">
        <v>1.0085</v>
      </c>
    </row>
    <row r="148" customFormat="false" ht="15" hidden="false" customHeight="false" outlineLevel="0" collapsed="false">
      <c r="A148" s="0" t="s">
        <v>115</v>
      </c>
      <c r="B148" s="0" t="s">
        <v>181</v>
      </c>
      <c r="C148" s="0" t="s">
        <v>294</v>
      </c>
      <c r="D148" s="0" t="s">
        <v>430</v>
      </c>
      <c r="E148" s="0" t="n">
        <v>1200</v>
      </c>
      <c r="F148" s="6" t="n">
        <v>0.994166666666667</v>
      </c>
      <c r="G148" s="7" t="n">
        <v>0.928</v>
      </c>
    </row>
    <row r="149" customFormat="false" ht="15" hidden="false" customHeight="false" outlineLevel="0" collapsed="false">
      <c r="A149" s="0" t="s">
        <v>115</v>
      </c>
      <c r="B149" s="0" t="s">
        <v>181</v>
      </c>
      <c r="C149" s="0" t="s">
        <v>296</v>
      </c>
      <c r="D149" s="0" t="s">
        <v>431</v>
      </c>
      <c r="E149" s="0" t="n">
        <v>1200</v>
      </c>
      <c r="F149" s="6" t="n">
        <v>0.996666666666667</v>
      </c>
      <c r="G149" s="7" t="n">
        <v>1.049</v>
      </c>
    </row>
    <row r="150" customFormat="false" ht="15" hidden="false" customHeight="false" outlineLevel="0" collapsed="false">
      <c r="A150" s="0" t="s">
        <v>115</v>
      </c>
      <c r="B150" s="0" t="s">
        <v>181</v>
      </c>
      <c r="C150" s="0" t="s">
        <v>298</v>
      </c>
      <c r="D150" s="0" t="s">
        <v>432</v>
      </c>
      <c r="E150" s="0" t="n">
        <v>1200</v>
      </c>
      <c r="F150" s="6" t="n">
        <v>0.995833333333333</v>
      </c>
      <c r="G150" s="7" t="n">
        <v>0.998</v>
      </c>
    </row>
    <row r="151" customFormat="false" ht="15" hidden="false" customHeight="false" outlineLevel="0" collapsed="false">
      <c r="A151" s="0" t="s">
        <v>48</v>
      </c>
      <c r="B151" s="0" t="s">
        <v>182</v>
      </c>
      <c r="C151" s="0" t="s">
        <v>286</v>
      </c>
      <c r="D151" s="0" t="s">
        <v>433</v>
      </c>
      <c r="E151" s="0" t="n">
        <v>1200</v>
      </c>
      <c r="F151" s="6" t="n">
        <v>1</v>
      </c>
      <c r="G151" s="7" t="n">
        <v>0.554</v>
      </c>
    </row>
    <row r="152" customFormat="false" ht="15" hidden="false" customHeight="false" outlineLevel="0" collapsed="false">
      <c r="A152" s="0" t="s">
        <v>48</v>
      </c>
      <c r="B152" s="0" t="s">
        <v>182</v>
      </c>
      <c r="C152" s="0" t="s">
        <v>288</v>
      </c>
      <c r="D152" s="0" t="s">
        <v>434</v>
      </c>
      <c r="E152" s="0" t="n">
        <v>1200</v>
      </c>
      <c r="F152" s="6" t="n">
        <v>0.999166666666667</v>
      </c>
      <c r="G152" s="7" t="n">
        <v>0.524</v>
      </c>
    </row>
    <row r="153" customFormat="false" ht="15" hidden="false" customHeight="false" outlineLevel="0" collapsed="false">
      <c r="A153" s="0" t="s">
        <v>48</v>
      </c>
      <c r="B153" s="0" t="s">
        <v>182</v>
      </c>
      <c r="C153" s="0" t="s">
        <v>290</v>
      </c>
      <c r="D153" s="0" t="s">
        <v>435</v>
      </c>
      <c r="E153" s="0" t="n">
        <v>1200</v>
      </c>
      <c r="F153" s="6" t="n">
        <v>0.999166666666667</v>
      </c>
      <c r="G153" s="7" t="n">
        <v>0.543</v>
      </c>
    </row>
    <row r="154" customFormat="false" ht="15" hidden="false" customHeight="false" outlineLevel="0" collapsed="false">
      <c r="A154" s="0" t="s">
        <v>48</v>
      </c>
      <c r="B154" s="0" t="s">
        <v>182</v>
      </c>
      <c r="C154" s="0" t="s">
        <v>292</v>
      </c>
      <c r="D154" s="0" t="s">
        <v>436</v>
      </c>
      <c r="E154" s="0" t="n">
        <v>1200</v>
      </c>
      <c r="F154" s="6" t="n">
        <v>0.999166666666667</v>
      </c>
      <c r="G154" s="7" t="n">
        <v>0.514</v>
      </c>
    </row>
    <row r="155" customFormat="false" ht="15" hidden="false" customHeight="false" outlineLevel="0" collapsed="false">
      <c r="A155" s="0" t="s">
        <v>48</v>
      </c>
      <c r="B155" s="0" t="s">
        <v>182</v>
      </c>
      <c r="C155" s="0" t="s">
        <v>294</v>
      </c>
      <c r="D155" s="0" t="s">
        <v>345</v>
      </c>
      <c r="E155" s="0" t="n">
        <v>1200</v>
      </c>
      <c r="F155" s="6" t="n">
        <v>0.999166666666667</v>
      </c>
      <c r="G155" s="7" t="n">
        <v>0.542</v>
      </c>
    </row>
    <row r="156" customFormat="false" ht="15" hidden="false" customHeight="false" outlineLevel="0" collapsed="false">
      <c r="A156" s="0" t="s">
        <v>48</v>
      </c>
      <c r="B156" s="0" t="s">
        <v>182</v>
      </c>
      <c r="C156" s="0" t="s">
        <v>296</v>
      </c>
      <c r="D156" s="0" t="s">
        <v>437</v>
      </c>
      <c r="E156" s="0" t="n">
        <v>1200</v>
      </c>
      <c r="F156" s="6" t="n">
        <v>1</v>
      </c>
      <c r="G156" s="7" t="n">
        <v>0.543</v>
      </c>
    </row>
    <row r="157" customFormat="false" ht="15" hidden="false" customHeight="false" outlineLevel="0" collapsed="false">
      <c r="A157" s="0" t="s">
        <v>48</v>
      </c>
      <c r="B157" s="0" t="s">
        <v>182</v>
      </c>
      <c r="C157" s="0" t="s">
        <v>298</v>
      </c>
      <c r="D157" s="0" t="s">
        <v>438</v>
      </c>
      <c r="E157" s="0" t="n">
        <v>1200</v>
      </c>
      <c r="F157" s="6" t="n">
        <v>1</v>
      </c>
      <c r="G157" s="7" t="n">
        <v>0.7415</v>
      </c>
    </row>
    <row r="158" customFormat="false" ht="15" hidden="false" customHeight="false" outlineLevel="0" collapsed="false">
      <c r="A158" s="0" t="s">
        <v>48</v>
      </c>
      <c r="B158" s="0" t="s">
        <v>183</v>
      </c>
      <c r="C158" s="0" t="s">
        <v>286</v>
      </c>
      <c r="D158" s="0" t="s">
        <v>439</v>
      </c>
      <c r="E158" s="0" t="n">
        <v>1200</v>
      </c>
      <c r="F158" s="6" t="n">
        <v>0.998333333333333</v>
      </c>
      <c r="G158" s="7" t="n">
        <v>0.809</v>
      </c>
    </row>
    <row r="159" customFormat="false" ht="15" hidden="false" customHeight="false" outlineLevel="0" collapsed="false">
      <c r="A159" s="0" t="s">
        <v>48</v>
      </c>
      <c r="B159" s="0" t="s">
        <v>183</v>
      </c>
      <c r="C159" s="0" t="s">
        <v>288</v>
      </c>
      <c r="D159" s="0" t="s">
        <v>440</v>
      </c>
      <c r="E159" s="0" t="n">
        <v>1200</v>
      </c>
      <c r="F159" s="6" t="n">
        <v>0.998333333333333</v>
      </c>
      <c r="G159" s="7" t="n">
        <v>0.803</v>
      </c>
    </row>
    <row r="160" customFormat="false" ht="15" hidden="false" customHeight="false" outlineLevel="0" collapsed="false">
      <c r="A160" s="0" t="s">
        <v>48</v>
      </c>
      <c r="B160" s="0" t="s">
        <v>183</v>
      </c>
      <c r="C160" s="0" t="s">
        <v>290</v>
      </c>
      <c r="D160" s="0" t="s">
        <v>441</v>
      </c>
      <c r="E160" s="0" t="n">
        <v>1200</v>
      </c>
      <c r="F160" s="6" t="n">
        <v>1</v>
      </c>
      <c r="G160" s="7" t="n">
        <v>0.8175</v>
      </c>
    </row>
    <row r="161" customFormat="false" ht="15" hidden="false" customHeight="false" outlineLevel="0" collapsed="false">
      <c r="A161" s="0" t="s">
        <v>48</v>
      </c>
      <c r="B161" s="0" t="s">
        <v>183</v>
      </c>
      <c r="C161" s="0" t="s">
        <v>292</v>
      </c>
      <c r="D161" s="0" t="s">
        <v>372</v>
      </c>
      <c r="E161" s="0" t="n">
        <v>1200</v>
      </c>
      <c r="F161" s="6" t="n">
        <v>0.998333333333333</v>
      </c>
      <c r="G161" s="7" t="n">
        <v>0.7945</v>
      </c>
    </row>
    <row r="162" customFormat="false" ht="15" hidden="false" customHeight="false" outlineLevel="0" collapsed="false">
      <c r="A162" s="0" t="s">
        <v>48</v>
      </c>
      <c r="B162" s="0" t="s">
        <v>183</v>
      </c>
      <c r="C162" s="0" t="s">
        <v>294</v>
      </c>
      <c r="D162" s="0" t="s">
        <v>442</v>
      </c>
      <c r="E162" s="0" t="n">
        <v>1200</v>
      </c>
      <c r="F162" s="6" t="n">
        <v>1</v>
      </c>
      <c r="G162" s="7" t="n">
        <v>0.812</v>
      </c>
    </row>
    <row r="163" customFormat="false" ht="15" hidden="false" customHeight="false" outlineLevel="0" collapsed="false">
      <c r="A163" s="0" t="s">
        <v>48</v>
      </c>
      <c r="B163" s="0" t="s">
        <v>183</v>
      </c>
      <c r="C163" s="0" t="s">
        <v>296</v>
      </c>
      <c r="D163" s="0" t="s">
        <v>443</v>
      </c>
      <c r="E163" s="0" t="n">
        <v>1200</v>
      </c>
      <c r="F163" s="6" t="n">
        <v>0.9975</v>
      </c>
      <c r="G163" s="7" t="n">
        <v>0.794</v>
      </c>
    </row>
    <row r="164" customFormat="false" ht="15" hidden="false" customHeight="false" outlineLevel="0" collapsed="false">
      <c r="A164" s="0" t="s">
        <v>48</v>
      </c>
      <c r="B164" s="0" t="s">
        <v>183</v>
      </c>
      <c r="C164" s="0" t="s">
        <v>298</v>
      </c>
      <c r="D164" s="0" t="s">
        <v>444</v>
      </c>
      <c r="E164" s="0" t="n">
        <v>1200</v>
      </c>
      <c r="F164" s="6" t="n">
        <v>0.998333333333333</v>
      </c>
      <c r="G164" s="7" t="n">
        <v>0.7945</v>
      </c>
    </row>
    <row r="165" customFormat="false" ht="15" hidden="false" customHeight="false" outlineLevel="0" collapsed="false">
      <c r="A165" s="0" t="s">
        <v>48</v>
      </c>
      <c r="B165" s="0" t="s">
        <v>181</v>
      </c>
      <c r="C165" s="0" t="s">
        <v>286</v>
      </c>
      <c r="D165" s="0" t="s">
        <v>445</v>
      </c>
      <c r="E165" s="0" t="n">
        <v>1200</v>
      </c>
      <c r="F165" s="6" t="n">
        <v>1</v>
      </c>
      <c r="G165" s="7" t="n">
        <v>0.7665</v>
      </c>
    </row>
    <row r="166" customFormat="false" ht="15" hidden="false" customHeight="false" outlineLevel="0" collapsed="false">
      <c r="A166" s="0" t="s">
        <v>48</v>
      </c>
      <c r="B166" s="0" t="s">
        <v>181</v>
      </c>
      <c r="C166" s="0" t="s">
        <v>288</v>
      </c>
      <c r="D166" s="0" t="s">
        <v>301</v>
      </c>
      <c r="E166" s="0" t="n">
        <v>1200</v>
      </c>
      <c r="F166" s="6" t="n">
        <v>0.999166666666667</v>
      </c>
      <c r="G166" s="7" t="n">
        <v>0.737</v>
      </c>
    </row>
    <row r="167" customFormat="false" ht="15" hidden="false" customHeight="false" outlineLevel="0" collapsed="false">
      <c r="A167" s="0" t="s">
        <v>48</v>
      </c>
      <c r="B167" s="0" t="s">
        <v>181</v>
      </c>
      <c r="C167" s="0" t="s">
        <v>290</v>
      </c>
      <c r="D167" s="0" t="s">
        <v>446</v>
      </c>
      <c r="E167" s="0" t="n">
        <v>1200</v>
      </c>
      <c r="F167" s="6" t="n">
        <v>0.999166666666667</v>
      </c>
      <c r="G167" s="7" t="n">
        <v>0.746</v>
      </c>
    </row>
    <row r="168" customFormat="false" ht="15" hidden="false" customHeight="false" outlineLevel="0" collapsed="false">
      <c r="A168" s="0" t="s">
        <v>48</v>
      </c>
      <c r="B168" s="0" t="s">
        <v>181</v>
      </c>
      <c r="C168" s="0" t="s">
        <v>292</v>
      </c>
      <c r="D168" s="0" t="s">
        <v>447</v>
      </c>
      <c r="E168" s="0" t="n">
        <v>1200</v>
      </c>
      <c r="F168" s="6" t="n">
        <v>1</v>
      </c>
      <c r="G168" s="7" t="n">
        <v>0.7525</v>
      </c>
    </row>
    <row r="169" customFormat="false" ht="15" hidden="false" customHeight="false" outlineLevel="0" collapsed="false">
      <c r="A169" s="0" t="s">
        <v>48</v>
      </c>
      <c r="B169" s="0" t="s">
        <v>181</v>
      </c>
      <c r="C169" s="0" t="s">
        <v>294</v>
      </c>
      <c r="D169" s="0" t="s">
        <v>345</v>
      </c>
      <c r="E169" s="0" t="n">
        <v>1200</v>
      </c>
      <c r="F169" s="6" t="n">
        <v>0.999166666666667</v>
      </c>
      <c r="G169" s="7" t="n">
        <v>0.761</v>
      </c>
    </row>
    <row r="170" customFormat="false" ht="15" hidden="false" customHeight="false" outlineLevel="0" collapsed="false">
      <c r="A170" s="0" t="s">
        <v>48</v>
      </c>
      <c r="B170" s="0" t="s">
        <v>181</v>
      </c>
      <c r="C170" s="0" t="s">
        <v>296</v>
      </c>
      <c r="D170" s="0" t="s">
        <v>448</v>
      </c>
      <c r="E170" s="0" t="n">
        <v>1200</v>
      </c>
      <c r="F170" s="6" t="n">
        <v>0.999166666666667</v>
      </c>
      <c r="G170" s="7" t="n">
        <v>0.758</v>
      </c>
    </row>
    <row r="171" customFormat="false" ht="15" hidden="false" customHeight="false" outlineLevel="0" collapsed="false">
      <c r="A171" s="0" t="s">
        <v>48</v>
      </c>
      <c r="B171" s="0" t="s">
        <v>181</v>
      </c>
      <c r="C171" s="0" t="s">
        <v>298</v>
      </c>
      <c r="D171" s="0" t="s">
        <v>449</v>
      </c>
      <c r="E171" s="0" t="n">
        <v>1200</v>
      </c>
      <c r="F171" s="6" t="n">
        <v>0.999166666666667</v>
      </c>
      <c r="G171" s="7" t="n">
        <v>0.781</v>
      </c>
    </row>
    <row r="172" customFormat="false" ht="15" hidden="false" customHeight="false" outlineLevel="0" collapsed="false">
      <c r="A172" s="0" t="s">
        <v>91</v>
      </c>
      <c r="B172" s="0" t="s">
        <v>182</v>
      </c>
      <c r="C172" s="0" t="s">
        <v>286</v>
      </c>
      <c r="D172" s="0" t="s">
        <v>450</v>
      </c>
      <c r="E172" s="0" t="n">
        <v>1200</v>
      </c>
      <c r="F172" s="6" t="n">
        <v>0.9975</v>
      </c>
      <c r="G172" s="7" t="n">
        <v>0.643</v>
      </c>
    </row>
    <row r="173" customFormat="false" ht="15" hidden="false" customHeight="false" outlineLevel="0" collapsed="false">
      <c r="A173" s="0" t="s">
        <v>91</v>
      </c>
      <c r="B173" s="0" t="s">
        <v>182</v>
      </c>
      <c r="C173" s="0" t="s">
        <v>288</v>
      </c>
      <c r="D173" s="0" t="s">
        <v>451</v>
      </c>
      <c r="E173" s="0" t="n">
        <v>1200</v>
      </c>
      <c r="F173" s="6" t="n">
        <v>0.994166666666667</v>
      </c>
      <c r="G173" s="7" t="n">
        <v>0.692</v>
      </c>
    </row>
    <row r="174" customFormat="false" ht="15" hidden="false" customHeight="false" outlineLevel="0" collapsed="false">
      <c r="A174" s="0" t="s">
        <v>91</v>
      </c>
      <c r="B174" s="0" t="s">
        <v>182</v>
      </c>
      <c r="C174" s="0" t="s">
        <v>290</v>
      </c>
      <c r="D174" s="0" t="s">
        <v>452</v>
      </c>
      <c r="E174" s="0" t="n">
        <v>1200</v>
      </c>
      <c r="F174" s="6" t="n">
        <v>0.996666666666667</v>
      </c>
      <c r="G174" s="7" t="n">
        <v>0.5425</v>
      </c>
    </row>
    <row r="175" customFormat="false" ht="15" hidden="false" customHeight="false" outlineLevel="0" collapsed="false">
      <c r="A175" s="0" t="s">
        <v>91</v>
      </c>
      <c r="B175" s="0" t="s">
        <v>182</v>
      </c>
      <c r="C175" s="0" t="s">
        <v>292</v>
      </c>
      <c r="D175" s="0" t="s">
        <v>453</v>
      </c>
      <c r="E175" s="0" t="n">
        <v>1200</v>
      </c>
      <c r="F175" s="6" t="n">
        <v>0.993333333333333</v>
      </c>
      <c r="G175" s="7" t="n">
        <v>0.659</v>
      </c>
    </row>
    <row r="176" customFormat="false" ht="15" hidden="false" customHeight="false" outlineLevel="0" collapsed="false">
      <c r="A176" s="0" t="s">
        <v>91</v>
      </c>
      <c r="B176" s="0" t="s">
        <v>182</v>
      </c>
      <c r="C176" s="0" t="s">
        <v>294</v>
      </c>
      <c r="D176" s="0" t="s">
        <v>454</v>
      </c>
      <c r="E176" s="0" t="n">
        <v>1200</v>
      </c>
      <c r="F176" s="6" t="n">
        <v>0.994166666666667</v>
      </c>
      <c r="G176" s="7" t="n">
        <v>0.537</v>
      </c>
    </row>
    <row r="177" customFormat="false" ht="15" hidden="false" customHeight="false" outlineLevel="0" collapsed="false">
      <c r="A177" s="0" t="s">
        <v>91</v>
      </c>
      <c r="B177" s="0" t="s">
        <v>182</v>
      </c>
      <c r="C177" s="0" t="s">
        <v>296</v>
      </c>
      <c r="D177" s="0" t="s">
        <v>455</v>
      </c>
      <c r="E177" s="0" t="n">
        <v>1200</v>
      </c>
      <c r="F177" s="6" t="n">
        <v>0.993333333333333</v>
      </c>
      <c r="G177" s="7" t="n">
        <v>0.6405</v>
      </c>
    </row>
    <row r="178" customFormat="false" ht="15" hidden="false" customHeight="false" outlineLevel="0" collapsed="false">
      <c r="A178" s="0" t="s">
        <v>91</v>
      </c>
      <c r="B178" s="0" t="s">
        <v>182</v>
      </c>
      <c r="C178" s="0" t="s">
        <v>298</v>
      </c>
      <c r="D178" s="0" t="s">
        <v>456</v>
      </c>
      <c r="E178" s="0" t="n">
        <v>1200</v>
      </c>
      <c r="F178" s="6" t="n">
        <v>0.996666666666667</v>
      </c>
      <c r="G178" s="7" t="n">
        <v>0.75</v>
      </c>
    </row>
    <row r="179" customFormat="false" ht="15" hidden="false" customHeight="false" outlineLevel="0" collapsed="false">
      <c r="A179" s="0" t="s">
        <v>91</v>
      </c>
      <c r="B179" s="0" t="s">
        <v>183</v>
      </c>
      <c r="C179" s="0" t="s">
        <v>286</v>
      </c>
      <c r="D179" s="0" t="s">
        <v>457</v>
      </c>
      <c r="E179" s="0" t="n">
        <v>1200</v>
      </c>
      <c r="F179" s="6" t="n">
        <v>0.994166666666667</v>
      </c>
      <c r="G179" s="7" t="n">
        <v>1.227</v>
      </c>
    </row>
    <row r="180" customFormat="false" ht="15" hidden="false" customHeight="false" outlineLevel="0" collapsed="false">
      <c r="A180" s="0" t="s">
        <v>91</v>
      </c>
      <c r="B180" s="0" t="s">
        <v>183</v>
      </c>
      <c r="C180" s="0" t="s">
        <v>288</v>
      </c>
      <c r="D180" s="0" t="s">
        <v>458</v>
      </c>
      <c r="E180" s="0" t="n">
        <v>1200</v>
      </c>
      <c r="F180" s="6" t="n">
        <v>0.998333333333333</v>
      </c>
      <c r="G180" s="7" t="n">
        <v>1.3205</v>
      </c>
    </row>
    <row r="181" customFormat="false" ht="15" hidden="false" customHeight="false" outlineLevel="0" collapsed="false">
      <c r="A181" s="0" t="s">
        <v>91</v>
      </c>
      <c r="B181" s="0" t="s">
        <v>183</v>
      </c>
      <c r="C181" s="0" t="s">
        <v>290</v>
      </c>
      <c r="D181" s="0" t="s">
        <v>459</v>
      </c>
      <c r="E181" s="0" t="n">
        <v>1200</v>
      </c>
      <c r="F181" s="6" t="n">
        <v>0.9975</v>
      </c>
      <c r="G181" s="7" t="n">
        <v>1.119</v>
      </c>
    </row>
    <row r="182" customFormat="false" ht="15" hidden="false" customHeight="false" outlineLevel="0" collapsed="false">
      <c r="A182" s="0" t="s">
        <v>91</v>
      </c>
      <c r="B182" s="0" t="s">
        <v>183</v>
      </c>
      <c r="C182" s="0" t="s">
        <v>292</v>
      </c>
      <c r="D182" s="0" t="s">
        <v>460</v>
      </c>
      <c r="E182" s="0" t="n">
        <v>1200</v>
      </c>
      <c r="F182" s="6" t="n">
        <v>0.995833333333333</v>
      </c>
      <c r="G182" s="7" t="n">
        <v>1.33</v>
      </c>
    </row>
    <row r="183" customFormat="false" ht="15" hidden="false" customHeight="false" outlineLevel="0" collapsed="false">
      <c r="A183" s="0" t="s">
        <v>91</v>
      </c>
      <c r="B183" s="0" t="s">
        <v>183</v>
      </c>
      <c r="C183" s="0" t="s">
        <v>294</v>
      </c>
      <c r="D183" s="0" t="s">
        <v>461</v>
      </c>
      <c r="E183" s="0" t="n">
        <v>1200</v>
      </c>
      <c r="F183" s="6" t="n">
        <v>0.996666666666667</v>
      </c>
      <c r="G183" s="7" t="n">
        <v>0.954</v>
      </c>
    </row>
    <row r="184" customFormat="false" ht="15" hidden="false" customHeight="false" outlineLevel="0" collapsed="false">
      <c r="A184" s="0" t="s">
        <v>91</v>
      </c>
      <c r="B184" s="0" t="s">
        <v>183</v>
      </c>
      <c r="C184" s="0" t="s">
        <v>296</v>
      </c>
      <c r="D184" s="0" t="s">
        <v>462</v>
      </c>
      <c r="E184" s="0" t="n">
        <v>1200</v>
      </c>
      <c r="F184" s="6" t="n">
        <v>0.994166666666667</v>
      </c>
      <c r="G184" s="7" t="n">
        <v>1.202</v>
      </c>
    </row>
    <row r="185" customFormat="false" ht="15" hidden="false" customHeight="false" outlineLevel="0" collapsed="false">
      <c r="A185" s="0" t="s">
        <v>91</v>
      </c>
      <c r="B185" s="0" t="s">
        <v>183</v>
      </c>
      <c r="C185" s="0" t="s">
        <v>298</v>
      </c>
      <c r="D185" s="0" t="s">
        <v>463</v>
      </c>
      <c r="E185" s="0" t="n">
        <v>1200</v>
      </c>
      <c r="F185" s="6" t="n">
        <v>0.999166666666667</v>
      </c>
      <c r="G185" s="7" t="n">
        <v>1.223</v>
      </c>
    </row>
    <row r="186" customFormat="false" ht="15" hidden="false" customHeight="false" outlineLevel="0" collapsed="false">
      <c r="A186" s="0" t="s">
        <v>91</v>
      </c>
      <c r="B186" s="0" t="s">
        <v>181</v>
      </c>
      <c r="C186" s="0" t="s">
        <v>286</v>
      </c>
      <c r="D186" s="0" t="s">
        <v>464</v>
      </c>
      <c r="E186" s="0" t="n">
        <v>1200</v>
      </c>
      <c r="F186" s="6" t="n">
        <v>0.9975</v>
      </c>
      <c r="G186" s="7" t="n">
        <v>0.735</v>
      </c>
    </row>
    <row r="187" customFormat="false" ht="15" hidden="false" customHeight="false" outlineLevel="0" collapsed="false">
      <c r="A187" s="0" t="s">
        <v>91</v>
      </c>
      <c r="B187" s="0" t="s">
        <v>181</v>
      </c>
      <c r="C187" s="0" t="s">
        <v>288</v>
      </c>
      <c r="D187" s="0" t="s">
        <v>465</v>
      </c>
      <c r="E187" s="0" t="n">
        <v>1200</v>
      </c>
      <c r="F187" s="6" t="n">
        <v>0.994166666666667</v>
      </c>
      <c r="G187" s="7" t="n">
        <v>0.732</v>
      </c>
    </row>
    <row r="188" customFormat="false" ht="15" hidden="false" customHeight="false" outlineLevel="0" collapsed="false">
      <c r="A188" s="0" t="s">
        <v>91</v>
      </c>
      <c r="B188" s="0" t="s">
        <v>181</v>
      </c>
      <c r="C188" s="0" t="s">
        <v>290</v>
      </c>
      <c r="D188" s="0" t="s">
        <v>466</v>
      </c>
      <c r="E188" s="0" t="n">
        <v>1200</v>
      </c>
      <c r="F188" s="6" t="n">
        <v>0.995833333333333</v>
      </c>
      <c r="G188" s="7" t="n">
        <v>0.724</v>
      </c>
    </row>
    <row r="189" customFormat="false" ht="15" hidden="false" customHeight="false" outlineLevel="0" collapsed="false">
      <c r="A189" s="0" t="s">
        <v>91</v>
      </c>
      <c r="B189" s="0" t="s">
        <v>181</v>
      </c>
      <c r="C189" s="0" t="s">
        <v>292</v>
      </c>
      <c r="D189" s="0" t="s">
        <v>467</v>
      </c>
      <c r="E189" s="0" t="n">
        <v>1200</v>
      </c>
      <c r="F189" s="6" t="n">
        <v>0.9925</v>
      </c>
      <c r="G189" s="7" t="n">
        <v>0.729</v>
      </c>
    </row>
    <row r="190" customFormat="false" ht="15" hidden="false" customHeight="false" outlineLevel="0" collapsed="false">
      <c r="A190" s="0" t="s">
        <v>91</v>
      </c>
      <c r="B190" s="0" t="s">
        <v>181</v>
      </c>
      <c r="C190" s="0" t="s">
        <v>294</v>
      </c>
      <c r="D190" s="0" t="s">
        <v>468</v>
      </c>
      <c r="E190" s="0" t="n">
        <v>1200</v>
      </c>
      <c r="F190" s="6" t="n">
        <v>0.995833333333333</v>
      </c>
      <c r="G190" s="7" t="n">
        <v>0.709</v>
      </c>
    </row>
    <row r="191" customFormat="false" ht="15" hidden="false" customHeight="false" outlineLevel="0" collapsed="false">
      <c r="A191" s="0" t="s">
        <v>91</v>
      </c>
      <c r="B191" s="0" t="s">
        <v>181</v>
      </c>
      <c r="C191" s="0" t="s">
        <v>296</v>
      </c>
      <c r="D191" s="0" t="s">
        <v>400</v>
      </c>
      <c r="E191" s="0" t="n">
        <v>1200</v>
      </c>
      <c r="F191" s="6" t="n">
        <v>0.995833333333333</v>
      </c>
      <c r="G191" s="7" t="n">
        <v>0.748</v>
      </c>
    </row>
    <row r="192" customFormat="false" ht="15" hidden="false" customHeight="false" outlineLevel="0" collapsed="false">
      <c r="A192" s="0" t="s">
        <v>91</v>
      </c>
      <c r="B192" s="0" t="s">
        <v>181</v>
      </c>
      <c r="C192" s="0" t="s">
        <v>298</v>
      </c>
      <c r="D192" s="0" t="s">
        <v>469</v>
      </c>
      <c r="E192" s="0" t="n">
        <v>1200</v>
      </c>
      <c r="F192" s="6" t="n">
        <v>0.996666666666667</v>
      </c>
      <c r="G192" s="7" t="n">
        <v>0.7705</v>
      </c>
    </row>
    <row r="193" customFormat="false" ht="15" hidden="false" customHeight="false" outlineLevel="0" collapsed="false">
      <c r="A193" s="0" t="s">
        <v>63</v>
      </c>
      <c r="B193" s="0" t="s">
        <v>182</v>
      </c>
      <c r="C193" s="0" t="s">
        <v>286</v>
      </c>
      <c r="D193" s="0" t="s">
        <v>470</v>
      </c>
      <c r="E193" s="0" t="n">
        <v>1200</v>
      </c>
      <c r="F193" s="6" t="n">
        <v>0.999166666666667</v>
      </c>
      <c r="G193" s="7" t="n">
        <v>1.265</v>
      </c>
    </row>
    <row r="194" customFormat="false" ht="15" hidden="false" customHeight="false" outlineLevel="0" collapsed="false">
      <c r="A194" s="0" t="s">
        <v>63</v>
      </c>
      <c r="B194" s="0" t="s">
        <v>182</v>
      </c>
      <c r="C194" s="0" t="s">
        <v>288</v>
      </c>
      <c r="D194" s="0" t="s">
        <v>471</v>
      </c>
      <c r="E194" s="0" t="n">
        <v>1200</v>
      </c>
      <c r="F194" s="6" t="n">
        <v>0.996666666666667</v>
      </c>
      <c r="G194" s="7" t="n">
        <v>1.2145</v>
      </c>
    </row>
    <row r="195" customFormat="false" ht="15" hidden="false" customHeight="false" outlineLevel="0" collapsed="false">
      <c r="A195" s="0" t="s">
        <v>63</v>
      </c>
      <c r="B195" s="0" t="s">
        <v>182</v>
      </c>
      <c r="C195" s="0" t="s">
        <v>290</v>
      </c>
      <c r="D195" s="0" t="s">
        <v>472</v>
      </c>
      <c r="E195" s="0" t="n">
        <v>1200</v>
      </c>
      <c r="F195" s="6" t="n">
        <v>0.995</v>
      </c>
      <c r="G195" s="7" t="n">
        <v>1.2445</v>
      </c>
    </row>
    <row r="196" customFormat="false" ht="15" hidden="false" customHeight="false" outlineLevel="0" collapsed="false">
      <c r="A196" s="0" t="s">
        <v>63</v>
      </c>
      <c r="B196" s="0" t="s">
        <v>182</v>
      </c>
      <c r="C196" s="0" t="s">
        <v>292</v>
      </c>
      <c r="D196" s="0" t="s">
        <v>460</v>
      </c>
      <c r="E196" s="0" t="n">
        <v>1200</v>
      </c>
      <c r="F196" s="6" t="n">
        <v>0.9975</v>
      </c>
      <c r="G196" s="7" t="n">
        <v>1.374</v>
      </c>
    </row>
    <row r="197" customFormat="false" ht="15" hidden="false" customHeight="false" outlineLevel="0" collapsed="false">
      <c r="A197" s="0" t="s">
        <v>63</v>
      </c>
      <c r="B197" s="0" t="s">
        <v>182</v>
      </c>
      <c r="C197" s="0" t="s">
        <v>294</v>
      </c>
      <c r="D197" s="0" t="s">
        <v>473</v>
      </c>
      <c r="E197" s="0" t="n">
        <v>1200</v>
      </c>
      <c r="F197" s="6" t="n">
        <v>0.998333333333333</v>
      </c>
      <c r="G197" s="7" t="n">
        <v>1.219</v>
      </c>
    </row>
    <row r="198" customFormat="false" ht="15" hidden="false" customHeight="false" outlineLevel="0" collapsed="false">
      <c r="A198" s="0" t="s">
        <v>63</v>
      </c>
      <c r="B198" s="0" t="s">
        <v>182</v>
      </c>
      <c r="C198" s="0" t="s">
        <v>296</v>
      </c>
      <c r="D198" s="0" t="s">
        <v>474</v>
      </c>
      <c r="E198" s="0" t="n">
        <v>1200</v>
      </c>
      <c r="F198" s="6" t="n">
        <v>0.9975</v>
      </c>
      <c r="G198" s="7" t="n">
        <v>1.198</v>
      </c>
    </row>
    <row r="199" customFormat="false" ht="15" hidden="false" customHeight="false" outlineLevel="0" collapsed="false">
      <c r="A199" s="0" t="s">
        <v>63</v>
      </c>
      <c r="B199" s="0" t="s">
        <v>182</v>
      </c>
      <c r="C199" s="0" t="s">
        <v>298</v>
      </c>
      <c r="D199" s="0" t="s">
        <v>327</v>
      </c>
      <c r="E199" s="0" t="n">
        <v>1200</v>
      </c>
      <c r="F199" s="6" t="n">
        <v>0.993333333333333</v>
      </c>
      <c r="G199" s="7" t="n">
        <v>1.557</v>
      </c>
    </row>
    <row r="200" customFormat="false" ht="15" hidden="false" customHeight="false" outlineLevel="0" collapsed="false">
      <c r="A200" s="0" t="s">
        <v>63</v>
      </c>
      <c r="B200" s="0" t="s">
        <v>183</v>
      </c>
      <c r="C200" s="0" t="s">
        <v>286</v>
      </c>
      <c r="D200" s="0" t="s">
        <v>475</v>
      </c>
      <c r="E200" s="0" t="n">
        <v>1200</v>
      </c>
      <c r="F200" s="6" t="n">
        <v>0.9975</v>
      </c>
      <c r="G200" s="7" t="n">
        <v>1.78</v>
      </c>
    </row>
    <row r="201" customFormat="false" ht="15" hidden="false" customHeight="false" outlineLevel="0" collapsed="false">
      <c r="A201" s="0" t="s">
        <v>63</v>
      </c>
      <c r="B201" s="0" t="s">
        <v>183</v>
      </c>
      <c r="C201" s="0" t="s">
        <v>288</v>
      </c>
      <c r="D201" s="0" t="s">
        <v>476</v>
      </c>
      <c r="E201" s="0" t="n">
        <v>1200</v>
      </c>
      <c r="F201" s="6" t="n">
        <v>0.996666666666667</v>
      </c>
      <c r="G201" s="7" t="n">
        <v>1.799</v>
      </c>
    </row>
    <row r="202" customFormat="false" ht="15" hidden="false" customHeight="false" outlineLevel="0" collapsed="false">
      <c r="A202" s="0" t="s">
        <v>63</v>
      </c>
      <c r="B202" s="0" t="s">
        <v>183</v>
      </c>
      <c r="C202" s="0" t="s">
        <v>290</v>
      </c>
      <c r="D202" s="0" t="s">
        <v>477</v>
      </c>
      <c r="E202" s="0" t="n">
        <v>1200</v>
      </c>
      <c r="F202" s="6" t="n">
        <v>0.9975</v>
      </c>
      <c r="G202" s="7" t="n">
        <v>1.803</v>
      </c>
    </row>
    <row r="203" customFormat="false" ht="15" hidden="false" customHeight="false" outlineLevel="0" collapsed="false">
      <c r="A203" s="0" t="s">
        <v>63</v>
      </c>
      <c r="B203" s="0" t="s">
        <v>183</v>
      </c>
      <c r="C203" s="0" t="s">
        <v>292</v>
      </c>
      <c r="D203" s="0" t="s">
        <v>478</v>
      </c>
      <c r="E203" s="0" t="n">
        <v>1200</v>
      </c>
      <c r="F203" s="6" t="n">
        <v>0.995</v>
      </c>
      <c r="G203" s="7" t="n">
        <v>1.9095</v>
      </c>
    </row>
    <row r="204" customFormat="false" ht="15" hidden="false" customHeight="false" outlineLevel="0" collapsed="false">
      <c r="A204" s="0" t="s">
        <v>63</v>
      </c>
      <c r="B204" s="0" t="s">
        <v>183</v>
      </c>
      <c r="C204" s="0" t="s">
        <v>294</v>
      </c>
      <c r="D204" s="0" t="s">
        <v>479</v>
      </c>
      <c r="E204" s="0" t="n">
        <v>1200</v>
      </c>
      <c r="F204" s="6" t="n">
        <v>0.9975</v>
      </c>
      <c r="G204" s="7" t="n">
        <v>1.749</v>
      </c>
    </row>
    <row r="205" customFormat="false" ht="15" hidden="false" customHeight="false" outlineLevel="0" collapsed="false">
      <c r="A205" s="0" t="s">
        <v>63</v>
      </c>
      <c r="B205" s="0" t="s">
        <v>183</v>
      </c>
      <c r="C205" s="0" t="s">
        <v>296</v>
      </c>
      <c r="D205" s="0" t="s">
        <v>480</v>
      </c>
      <c r="E205" s="0" t="n">
        <v>1200</v>
      </c>
      <c r="F205" s="6" t="n">
        <v>0.9925</v>
      </c>
      <c r="G205" s="7" t="n">
        <v>1.795</v>
      </c>
    </row>
    <row r="206" customFormat="false" ht="15" hidden="false" customHeight="false" outlineLevel="0" collapsed="false">
      <c r="A206" s="0" t="s">
        <v>63</v>
      </c>
      <c r="B206" s="0" t="s">
        <v>183</v>
      </c>
      <c r="C206" s="0" t="s">
        <v>298</v>
      </c>
      <c r="D206" s="0" t="s">
        <v>481</v>
      </c>
      <c r="E206" s="0" t="n">
        <v>1200</v>
      </c>
      <c r="F206" s="6" t="n">
        <v>0.9925</v>
      </c>
      <c r="G206" s="7" t="n">
        <v>1.786</v>
      </c>
    </row>
    <row r="207" customFormat="false" ht="15" hidden="false" customHeight="false" outlineLevel="0" collapsed="false">
      <c r="A207" s="0" t="s">
        <v>63</v>
      </c>
      <c r="B207" s="0" t="s">
        <v>181</v>
      </c>
      <c r="C207" s="0" t="s">
        <v>286</v>
      </c>
      <c r="D207" s="0" t="s">
        <v>482</v>
      </c>
      <c r="E207" s="0" t="n">
        <v>1200</v>
      </c>
      <c r="F207" s="6" t="n">
        <v>0.998333333333333</v>
      </c>
      <c r="G207" s="7" t="n">
        <v>0.8185</v>
      </c>
    </row>
    <row r="208" customFormat="false" ht="15" hidden="false" customHeight="false" outlineLevel="0" collapsed="false">
      <c r="A208" s="0" t="s">
        <v>63</v>
      </c>
      <c r="B208" s="0" t="s">
        <v>181</v>
      </c>
      <c r="C208" s="0" t="s">
        <v>288</v>
      </c>
      <c r="D208" s="0" t="s">
        <v>483</v>
      </c>
      <c r="E208" s="0" t="n">
        <v>1200</v>
      </c>
      <c r="F208" s="6" t="n">
        <v>0.999166666666667</v>
      </c>
      <c r="G208" s="7" t="n">
        <v>0.822</v>
      </c>
    </row>
    <row r="209" customFormat="false" ht="15" hidden="false" customHeight="false" outlineLevel="0" collapsed="false">
      <c r="A209" s="0" t="s">
        <v>63</v>
      </c>
      <c r="B209" s="0" t="s">
        <v>181</v>
      </c>
      <c r="C209" s="0" t="s">
        <v>290</v>
      </c>
      <c r="D209" s="0" t="s">
        <v>484</v>
      </c>
      <c r="E209" s="0" t="n">
        <v>1200</v>
      </c>
      <c r="F209" s="6" t="n">
        <v>1</v>
      </c>
      <c r="G209" s="7" t="n">
        <v>0.821</v>
      </c>
    </row>
    <row r="210" customFormat="false" ht="15" hidden="false" customHeight="false" outlineLevel="0" collapsed="false">
      <c r="A210" s="0" t="s">
        <v>63</v>
      </c>
      <c r="B210" s="0" t="s">
        <v>181</v>
      </c>
      <c r="C210" s="0" t="s">
        <v>292</v>
      </c>
      <c r="D210" s="0" t="s">
        <v>418</v>
      </c>
      <c r="E210" s="0" t="n">
        <v>1200</v>
      </c>
      <c r="F210" s="6" t="n">
        <v>0.998333333333333</v>
      </c>
      <c r="G210" s="7" t="n">
        <v>0.844</v>
      </c>
    </row>
    <row r="211" customFormat="false" ht="15" hidden="false" customHeight="false" outlineLevel="0" collapsed="false">
      <c r="A211" s="0" t="s">
        <v>63</v>
      </c>
      <c r="B211" s="0" t="s">
        <v>181</v>
      </c>
      <c r="C211" s="0" t="s">
        <v>294</v>
      </c>
      <c r="D211" s="0" t="s">
        <v>485</v>
      </c>
      <c r="E211" s="0" t="n">
        <v>1200</v>
      </c>
      <c r="F211" s="6" t="n">
        <v>0.998333333333333</v>
      </c>
      <c r="G211" s="7" t="n">
        <v>0.777</v>
      </c>
    </row>
    <row r="212" customFormat="false" ht="15" hidden="false" customHeight="false" outlineLevel="0" collapsed="false">
      <c r="A212" s="0" t="s">
        <v>63</v>
      </c>
      <c r="B212" s="0" t="s">
        <v>181</v>
      </c>
      <c r="C212" s="0" t="s">
        <v>296</v>
      </c>
      <c r="D212" s="0" t="s">
        <v>297</v>
      </c>
      <c r="E212" s="0" t="n">
        <v>1200</v>
      </c>
      <c r="F212" s="6" t="n">
        <v>1</v>
      </c>
      <c r="G212" s="7" t="n">
        <v>0.78</v>
      </c>
    </row>
    <row r="213" customFormat="false" ht="15" hidden="false" customHeight="false" outlineLevel="0" collapsed="false">
      <c r="A213" s="0" t="s">
        <v>63</v>
      </c>
      <c r="B213" s="0" t="s">
        <v>181</v>
      </c>
      <c r="C213" s="0" t="s">
        <v>298</v>
      </c>
      <c r="D213" s="0" t="s">
        <v>327</v>
      </c>
      <c r="E213" s="0" t="n">
        <v>1200</v>
      </c>
      <c r="F213" s="6" t="n">
        <v>0.9975</v>
      </c>
      <c r="G213" s="7" t="n">
        <v>0.796</v>
      </c>
    </row>
    <row r="214" customFormat="false" ht="15" hidden="false" customHeight="false" outlineLevel="0" collapsed="false">
      <c r="A214" s="0" t="s">
        <v>102</v>
      </c>
      <c r="B214" s="0" t="s">
        <v>182</v>
      </c>
      <c r="C214" s="0" t="s">
        <v>286</v>
      </c>
      <c r="D214" s="0" t="s">
        <v>486</v>
      </c>
      <c r="E214" s="0" t="n">
        <v>1200</v>
      </c>
      <c r="F214" s="6" t="n">
        <v>0.9975</v>
      </c>
      <c r="G214" s="7" t="n">
        <v>0.546</v>
      </c>
    </row>
    <row r="215" customFormat="false" ht="15" hidden="false" customHeight="false" outlineLevel="0" collapsed="false">
      <c r="A215" s="0" t="s">
        <v>102</v>
      </c>
      <c r="B215" s="0" t="s">
        <v>182</v>
      </c>
      <c r="C215" s="0" t="s">
        <v>288</v>
      </c>
      <c r="D215" s="0" t="s">
        <v>487</v>
      </c>
      <c r="E215" s="0" t="n">
        <v>1200</v>
      </c>
      <c r="F215" s="6" t="n">
        <v>0.999166666666667</v>
      </c>
      <c r="G215" s="7" t="n">
        <v>0.528</v>
      </c>
    </row>
    <row r="216" customFormat="false" ht="15" hidden="false" customHeight="false" outlineLevel="0" collapsed="false">
      <c r="A216" s="0" t="s">
        <v>102</v>
      </c>
      <c r="B216" s="0" t="s">
        <v>182</v>
      </c>
      <c r="C216" s="0" t="s">
        <v>290</v>
      </c>
      <c r="D216" s="0" t="s">
        <v>488</v>
      </c>
      <c r="E216" s="0" t="n">
        <v>1200</v>
      </c>
      <c r="F216" s="6" t="n">
        <v>0.996666666666667</v>
      </c>
      <c r="G216" s="7" t="n">
        <v>0.539</v>
      </c>
    </row>
    <row r="217" customFormat="false" ht="15" hidden="false" customHeight="false" outlineLevel="0" collapsed="false">
      <c r="A217" s="0" t="s">
        <v>102</v>
      </c>
      <c r="B217" s="0" t="s">
        <v>182</v>
      </c>
      <c r="C217" s="0" t="s">
        <v>292</v>
      </c>
      <c r="D217" s="0" t="s">
        <v>489</v>
      </c>
      <c r="E217" s="0" t="n">
        <v>1200</v>
      </c>
      <c r="F217" s="6" t="n">
        <v>0.9975</v>
      </c>
      <c r="G217" s="7" t="n">
        <v>0.562</v>
      </c>
    </row>
    <row r="218" customFormat="false" ht="15" hidden="false" customHeight="false" outlineLevel="0" collapsed="false">
      <c r="A218" s="0" t="s">
        <v>102</v>
      </c>
      <c r="B218" s="0" t="s">
        <v>182</v>
      </c>
      <c r="C218" s="0" t="s">
        <v>294</v>
      </c>
      <c r="D218" s="0" t="s">
        <v>490</v>
      </c>
      <c r="E218" s="0" t="n">
        <v>1200</v>
      </c>
      <c r="F218" s="6" t="n">
        <v>0.995833333333333</v>
      </c>
      <c r="G218" s="7" t="n">
        <v>0.561</v>
      </c>
    </row>
    <row r="219" customFormat="false" ht="15" hidden="false" customHeight="false" outlineLevel="0" collapsed="false">
      <c r="A219" s="0" t="s">
        <v>102</v>
      </c>
      <c r="B219" s="0" t="s">
        <v>182</v>
      </c>
      <c r="C219" s="0" t="s">
        <v>296</v>
      </c>
      <c r="D219" s="0" t="s">
        <v>491</v>
      </c>
      <c r="E219" s="0" t="n">
        <v>1200</v>
      </c>
      <c r="F219" s="6" t="n">
        <v>0.999166666666667</v>
      </c>
      <c r="G219" s="7" t="n">
        <v>0.544</v>
      </c>
    </row>
    <row r="220" customFormat="false" ht="15" hidden="false" customHeight="false" outlineLevel="0" collapsed="false">
      <c r="A220" s="0" t="s">
        <v>102</v>
      </c>
      <c r="B220" s="0" t="s">
        <v>182</v>
      </c>
      <c r="C220" s="0" t="s">
        <v>298</v>
      </c>
      <c r="D220" s="0" t="s">
        <v>492</v>
      </c>
      <c r="E220" s="0" t="n">
        <v>1200</v>
      </c>
      <c r="F220" s="6" t="n">
        <v>0.998333333333333</v>
      </c>
      <c r="G220" s="7" t="n">
        <v>0.642</v>
      </c>
    </row>
    <row r="221" customFormat="false" ht="15" hidden="false" customHeight="false" outlineLevel="0" collapsed="false">
      <c r="A221" s="0" t="s">
        <v>102</v>
      </c>
      <c r="B221" s="0" t="s">
        <v>183</v>
      </c>
      <c r="C221" s="0" t="s">
        <v>286</v>
      </c>
      <c r="D221" s="0" t="s">
        <v>493</v>
      </c>
      <c r="E221" s="0" t="n">
        <v>1200</v>
      </c>
      <c r="F221" s="6" t="n">
        <v>0.9975</v>
      </c>
      <c r="G221" s="7" t="n">
        <v>0.796</v>
      </c>
    </row>
    <row r="222" customFormat="false" ht="15" hidden="false" customHeight="false" outlineLevel="0" collapsed="false">
      <c r="A222" s="0" t="s">
        <v>102</v>
      </c>
      <c r="B222" s="0" t="s">
        <v>183</v>
      </c>
      <c r="C222" s="0" t="s">
        <v>288</v>
      </c>
      <c r="D222" s="0" t="s">
        <v>494</v>
      </c>
      <c r="E222" s="0" t="n">
        <v>1200</v>
      </c>
      <c r="F222" s="6" t="n">
        <v>0.996666666666667</v>
      </c>
      <c r="G222" s="7" t="n">
        <v>0.7955</v>
      </c>
    </row>
    <row r="223" customFormat="false" ht="15" hidden="false" customHeight="false" outlineLevel="0" collapsed="false">
      <c r="A223" s="0" t="s">
        <v>102</v>
      </c>
      <c r="B223" s="0" t="s">
        <v>183</v>
      </c>
      <c r="C223" s="0" t="s">
        <v>290</v>
      </c>
      <c r="D223" s="0" t="s">
        <v>495</v>
      </c>
      <c r="E223" s="0" t="n">
        <v>1200</v>
      </c>
      <c r="F223" s="6" t="n">
        <v>0.998333333333333</v>
      </c>
      <c r="G223" s="7" t="n">
        <v>0.802</v>
      </c>
    </row>
    <row r="224" customFormat="false" ht="15" hidden="false" customHeight="false" outlineLevel="0" collapsed="false">
      <c r="A224" s="0" t="s">
        <v>102</v>
      </c>
      <c r="B224" s="0" t="s">
        <v>183</v>
      </c>
      <c r="C224" s="0" t="s">
        <v>292</v>
      </c>
      <c r="D224" s="0" t="s">
        <v>496</v>
      </c>
      <c r="E224" s="0" t="n">
        <v>1200</v>
      </c>
      <c r="F224" s="6" t="n">
        <v>1</v>
      </c>
      <c r="G224" s="7" t="n">
        <v>0.8175</v>
      </c>
    </row>
    <row r="225" customFormat="false" ht="15" hidden="false" customHeight="false" outlineLevel="0" collapsed="false">
      <c r="A225" s="0" t="s">
        <v>102</v>
      </c>
      <c r="B225" s="0" t="s">
        <v>183</v>
      </c>
      <c r="C225" s="0" t="s">
        <v>294</v>
      </c>
      <c r="D225" s="0" t="s">
        <v>497</v>
      </c>
      <c r="E225" s="0" t="n">
        <v>1200</v>
      </c>
      <c r="F225" s="6" t="n">
        <v>0.999166666666667</v>
      </c>
      <c r="G225" s="7" t="n">
        <v>0.803</v>
      </c>
    </row>
    <row r="226" customFormat="false" ht="15" hidden="false" customHeight="false" outlineLevel="0" collapsed="false">
      <c r="A226" s="0" t="s">
        <v>102</v>
      </c>
      <c r="B226" s="0" t="s">
        <v>183</v>
      </c>
      <c r="C226" s="0" t="s">
        <v>296</v>
      </c>
      <c r="D226" s="0" t="s">
        <v>498</v>
      </c>
      <c r="E226" s="0" t="n">
        <v>1200</v>
      </c>
      <c r="F226" s="6" t="n">
        <v>0.996666666666667</v>
      </c>
      <c r="G226" s="7" t="n">
        <v>0.802</v>
      </c>
    </row>
    <row r="227" customFormat="false" ht="15" hidden="false" customHeight="false" outlineLevel="0" collapsed="false">
      <c r="A227" s="0" t="s">
        <v>102</v>
      </c>
      <c r="B227" s="0" t="s">
        <v>183</v>
      </c>
      <c r="C227" s="0" t="s">
        <v>298</v>
      </c>
      <c r="D227" s="0" t="s">
        <v>499</v>
      </c>
      <c r="E227" s="0" t="n">
        <v>1200</v>
      </c>
      <c r="F227" s="6" t="n">
        <v>0.999166666666667</v>
      </c>
      <c r="G227" s="7" t="n">
        <v>0.798</v>
      </c>
    </row>
    <row r="228" customFormat="false" ht="15" hidden="false" customHeight="false" outlineLevel="0" collapsed="false">
      <c r="A228" s="0" t="s">
        <v>102</v>
      </c>
      <c r="B228" s="0" t="s">
        <v>181</v>
      </c>
      <c r="C228" s="0" t="s">
        <v>286</v>
      </c>
      <c r="D228" s="0" t="s">
        <v>500</v>
      </c>
      <c r="E228" s="0" t="n">
        <v>1200</v>
      </c>
      <c r="F228" s="6" t="n">
        <v>0.998333333333333</v>
      </c>
      <c r="G228" s="7" t="n">
        <v>0.647</v>
      </c>
    </row>
    <row r="229" customFormat="false" ht="15" hidden="false" customHeight="false" outlineLevel="0" collapsed="false">
      <c r="A229" s="0" t="s">
        <v>102</v>
      </c>
      <c r="B229" s="0" t="s">
        <v>181</v>
      </c>
      <c r="C229" s="0" t="s">
        <v>288</v>
      </c>
      <c r="D229" s="0" t="s">
        <v>501</v>
      </c>
      <c r="E229" s="0" t="n">
        <v>1200</v>
      </c>
      <c r="F229" s="6" t="n">
        <v>0.999166666666667</v>
      </c>
      <c r="G229" s="7" t="n">
        <v>0.643</v>
      </c>
    </row>
    <row r="230" customFormat="false" ht="15" hidden="false" customHeight="false" outlineLevel="0" collapsed="false">
      <c r="A230" s="0" t="s">
        <v>102</v>
      </c>
      <c r="B230" s="0" t="s">
        <v>181</v>
      </c>
      <c r="C230" s="0" t="s">
        <v>290</v>
      </c>
      <c r="D230" s="0" t="s">
        <v>502</v>
      </c>
      <c r="E230" s="0" t="n">
        <v>1200</v>
      </c>
      <c r="F230" s="6" t="n">
        <v>0.9975</v>
      </c>
      <c r="G230" s="7" t="n">
        <v>0.632</v>
      </c>
    </row>
    <row r="231" customFormat="false" ht="15" hidden="false" customHeight="false" outlineLevel="0" collapsed="false">
      <c r="A231" s="0" t="s">
        <v>102</v>
      </c>
      <c r="B231" s="0" t="s">
        <v>181</v>
      </c>
      <c r="C231" s="0" t="s">
        <v>292</v>
      </c>
      <c r="D231" s="0" t="s">
        <v>503</v>
      </c>
      <c r="E231" s="0" t="n">
        <v>1200</v>
      </c>
      <c r="F231" s="6" t="n">
        <v>0.999166666666667</v>
      </c>
      <c r="G231" s="7" t="n">
        <v>0.646</v>
      </c>
    </row>
    <row r="232" customFormat="false" ht="15" hidden="false" customHeight="false" outlineLevel="0" collapsed="false">
      <c r="A232" s="0" t="s">
        <v>102</v>
      </c>
      <c r="B232" s="0" t="s">
        <v>181</v>
      </c>
      <c r="C232" s="0" t="s">
        <v>294</v>
      </c>
      <c r="D232" s="0" t="s">
        <v>504</v>
      </c>
      <c r="E232" s="0" t="n">
        <v>1200</v>
      </c>
      <c r="F232" s="6" t="n">
        <v>0.998333333333333</v>
      </c>
      <c r="G232" s="7" t="n">
        <v>0.6415</v>
      </c>
    </row>
    <row r="233" customFormat="false" ht="15" hidden="false" customHeight="false" outlineLevel="0" collapsed="false">
      <c r="A233" s="0" t="s">
        <v>102</v>
      </c>
      <c r="B233" s="0" t="s">
        <v>181</v>
      </c>
      <c r="C233" s="0" t="s">
        <v>296</v>
      </c>
      <c r="D233" s="0" t="s">
        <v>505</v>
      </c>
      <c r="E233" s="0" t="n">
        <v>1200</v>
      </c>
      <c r="F233" s="6" t="n">
        <v>1</v>
      </c>
      <c r="G233" s="7" t="n">
        <v>0.633</v>
      </c>
    </row>
    <row r="234" customFormat="false" ht="15" hidden="false" customHeight="false" outlineLevel="0" collapsed="false">
      <c r="A234" s="0" t="s">
        <v>102</v>
      </c>
      <c r="B234" s="0" t="s">
        <v>181</v>
      </c>
      <c r="C234" s="0" t="s">
        <v>298</v>
      </c>
      <c r="D234" s="0" t="s">
        <v>506</v>
      </c>
      <c r="E234" s="0" t="n">
        <v>1200</v>
      </c>
      <c r="F234" s="6" t="n">
        <v>0.995833333333333</v>
      </c>
      <c r="G234" s="7" t="n">
        <v>0.646</v>
      </c>
    </row>
    <row r="235" customFormat="false" ht="15" hidden="false" customHeight="false" outlineLevel="0" collapsed="false">
      <c r="A235" s="0" t="s">
        <v>77</v>
      </c>
      <c r="B235" s="0" t="s">
        <v>182</v>
      </c>
      <c r="C235" s="0" t="s">
        <v>286</v>
      </c>
      <c r="D235" s="0" t="s">
        <v>507</v>
      </c>
      <c r="E235" s="0" t="n">
        <v>1200</v>
      </c>
      <c r="F235" s="6" t="n">
        <v>0.998333333333333</v>
      </c>
      <c r="G235" s="7" t="n">
        <v>0.709</v>
      </c>
    </row>
    <row r="236" customFormat="false" ht="15" hidden="false" customHeight="false" outlineLevel="0" collapsed="false">
      <c r="A236" s="0" t="s">
        <v>77</v>
      </c>
      <c r="B236" s="0" t="s">
        <v>182</v>
      </c>
      <c r="C236" s="0" t="s">
        <v>288</v>
      </c>
      <c r="D236" s="0" t="s">
        <v>508</v>
      </c>
      <c r="E236" s="0" t="n">
        <v>1200</v>
      </c>
      <c r="F236" s="6" t="n">
        <v>0.989166666666667</v>
      </c>
      <c r="G236" s="7" t="n">
        <v>0.709</v>
      </c>
    </row>
    <row r="237" customFormat="false" ht="15" hidden="false" customHeight="false" outlineLevel="0" collapsed="false">
      <c r="A237" s="0" t="s">
        <v>77</v>
      </c>
      <c r="B237" s="0" t="s">
        <v>182</v>
      </c>
      <c r="C237" s="0" t="s">
        <v>290</v>
      </c>
      <c r="D237" s="0" t="s">
        <v>509</v>
      </c>
      <c r="E237" s="0" t="n">
        <v>1200</v>
      </c>
      <c r="F237" s="6" t="n">
        <v>0.999166666666667</v>
      </c>
      <c r="G237" s="7" t="n">
        <v>0.693</v>
      </c>
    </row>
    <row r="238" customFormat="false" ht="15" hidden="false" customHeight="false" outlineLevel="0" collapsed="false">
      <c r="A238" s="0" t="s">
        <v>77</v>
      </c>
      <c r="B238" s="0" t="s">
        <v>182</v>
      </c>
      <c r="C238" s="0" t="s">
        <v>292</v>
      </c>
      <c r="D238" s="0" t="s">
        <v>510</v>
      </c>
      <c r="E238" s="0" t="n">
        <v>1200</v>
      </c>
      <c r="F238" s="6" t="n">
        <v>1</v>
      </c>
      <c r="G238" s="7" t="n">
        <v>0.6895</v>
      </c>
    </row>
    <row r="239" customFormat="false" ht="15" hidden="false" customHeight="false" outlineLevel="0" collapsed="false">
      <c r="A239" s="0" t="s">
        <v>77</v>
      </c>
      <c r="B239" s="0" t="s">
        <v>182</v>
      </c>
      <c r="C239" s="0" t="s">
        <v>294</v>
      </c>
      <c r="D239" s="0" t="s">
        <v>511</v>
      </c>
      <c r="E239" s="0" t="n">
        <v>1200</v>
      </c>
      <c r="F239" s="6" t="n">
        <v>0.998333333333333</v>
      </c>
      <c r="G239" s="7" t="n">
        <v>0.679</v>
      </c>
    </row>
    <row r="240" customFormat="false" ht="15" hidden="false" customHeight="false" outlineLevel="0" collapsed="false">
      <c r="A240" s="0" t="s">
        <v>77</v>
      </c>
      <c r="B240" s="0" t="s">
        <v>182</v>
      </c>
      <c r="C240" s="0" t="s">
        <v>296</v>
      </c>
      <c r="D240" s="0" t="s">
        <v>512</v>
      </c>
      <c r="E240" s="0" t="n">
        <v>1200</v>
      </c>
      <c r="F240" s="6" t="n">
        <v>0.999166666666667</v>
      </c>
      <c r="G240" s="7" t="n">
        <v>0.691</v>
      </c>
    </row>
    <row r="241" customFormat="false" ht="15" hidden="false" customHeight="false" outlineLevel="0" collapsed="false">
      <c r="A241" s="0" t="s">
        <v>77</v>
      </c>
      <c r="B241" s="0" t="s">
        <v>182</v>
      </c>
      <c r="C241" s="0" t="s">
        <v>298</v>
      </c>
      <c r="D241" s="0" t="s">
        <v>513</v>
      </c>
      <c r="E241" s="0" t="n">
        <v>1200</v>
      </c>
      <c r="F241" s="6" t="n">
        <v>0.993333333333333</v>
      </c>
      <c r="G241" s="7" t="n">
        <v>0.845</v>
      </c>
    </row>
    <row r="242" customFormat="false" ht="15" hidden="false" customHeight="false" outlineLevel="0" collapsed="false">
      <c r="A242" s="0" t="s">
        <v>77</v>
      </c>
      <c r="B242" s="0" t="s">
        <v>183</v>
      </c>
      <c r="C242" s="0" t="s">
        <v>286</v>
      </c>
      <c r="D242" s="0" t="s">
        <v>514</v>
      </c>
      <c r="E242" s="0" t="n">
        <v>1200</v>
      </c>
      <c r="F242" s="6" t="n">
        <v>0.971666666666667</v>
      </c>
      <c r="G242" s="7" t="n">
        <v>1.366</v>
      </c>
    </row>
    <row r="243" customFormat="false" ht="15" hidden="false" customHeight="false" outlineLevel="0" collapsed="false">
      <c r="A243" s="0" t="s">
        <v>77</v>
      </c>
      <c r="B243" s="0" t="s">
        <v>183</v>
      </c>
      <c r="C243" s="0" t="s">
        <v>288</v>
      </c>
      <c r="D243" s="0" t="s">
        <v>515</v>
      </c>
      <c r="E243" s="0" t="n">
        <v>1200</v>
      </c>
      <c r="F243" s="6" t="n">
        <v>0.99</v>
      </c>
      <c r="G243" s="7" t="n">
        <v>1.32</v>
      </c>
    </row>
    <row r="244" customFormat="false" ht="15" hidden="false" customHeight="false" outlineLevel="0" collapsed="false">
      <c r="A244" s="0" t="s">
        <v>77</v>
      </c>
      <c r="B244" s="0" t="s">
        <v>183</v>
      </c>
      <c r="C244" s="0" t="s">
        <v>290</v>
      </c>
      <c r="D244" s="0" t="s">
        <v>516</v>
      </c>
      <c r="E244" s="0" t="n">
        <v>1200</v>
      </c>
      <c r="F244" s="6" t="n">
        <v>0.998333333333333</v>
      </c>
      <c r="G244" s="7" t="n">
        <v>1.3135</v>
      </c>
    </row>
    <row r="245" customFormat="false" ht="15" hidden="false" customHeight="false" outlineLevel="0" collapsed="false">
      <c r="A245" s="0" t="s">
        <v>77</v>
      </c>
      <c r="B245" s="0" t="s">
        <v>183</v>
      </c>
      <c r="C245" s="0" t="s">
        <v>292</v>
      </c>
      <c r="D245" s="0" t="s">
        <v>517</v>
      </c>
      <c r="E245" s="0" t="n">
        <v>1200</v>
      </c>
      <c r="F245" s="6" t="n">
        <v>0.985</v>
      </c>
      <c r="G245" s="7" t="n">
        <v>1.3395</v>
      </c>
    </row>
    <row r="246" customFormat="false" ht="15" hidden="false" customHeight="false" outlineLevel="0" collapsed="false">
      <c r="A246" s="0" t="s">
        <v>77</v>
      </c>
      <c r="B246" s="0" t="s">
        <v>183</v>
      </c>
      <c r="C246" s="0" t="s">
        <v>294</v>
      </c>
      <c r="D246" s="0" t="s">
        <v>518</v>
      </c>
      <c r="E246" s="0" t="n">
        <v>1200</v>
      </c>
      <c r="F246" s="6" t="n">
        <v>0.998333333333333</v>
      </c>
      <c r="G246" s="7" t="n">
        <v>1.322</v>
      </c>
    </row>
    <row r="247" customFormat="false" ht="15" hidden="false" customHeight="false" outlineLevel="0" collapsed="false">
      <c r="A247" s="0" t="s">
        <v>77</v>
      </c>
      <c r="B247" s="0" t="s">
        <v>183</v>
      </c>
      <c r="C247" s="0" t="s">
        <v>296</v>
      </c>
      <c r="D247" s="0" t="s">
        <v>519</v>
      </c>
      <c r="E247" s="0" t="n">
        <v>1200</v>
      </c>
      <c r="F247" s="6" t="n">
        <v>0.998333333333333</v>
      </c>
      <c r="G247" s="7" t="n">
        <v>1.3525</v>
      </c>
    </row>
    <row r="248" customFormat="false" ht="15" hidden="false" customHeight="false" outlineLevel="0" collapsed="false">
      <c r="A248" s="0" t="s">
        <v>77</v>
      </c>
      <c r="B248" s="0" t="s">
        <v>183</v>
      </c>
      <c r="C248" s="0" t="s">
        <v>298</v>
      </c>
      <c r="D248" s="0" t="s">
        <v>520</v>
      </c>
      <c r="E248" s="0" t="n">
        <v>1200</v>
      </c>
      <c r="F248" s="6" t="n">
        <v>1</v>
      </c>
      <c r="G248" s="7" t="n">
        <v>1.3395</v>
      </c>
    </row>
    <row r="249" customFormat="false" ht="15" hidden="false" customHeight="false" outlineLevel="0" collapsed="false">
      <c r="A249" s="0" t="s">
        <v>77</v>
      </c>
      <c r="B249" s="0" t="s">
        <v>181</v>
      </c>
      <c r="C249" s="0" t="s">
        <v>286</v>
      </c>
      <c r="D249" s="0" t="s">
        <v>521</v>
      </c>
      <c r="E249" s="0" t="n">
        <v>1200</v>
      </c>
      <c r="F249" s="6" t="n">
        <v>0.999166666666667</v>
      </c>
      <c r="G249" s="7" t="n">
        <v>0.893</v>
      </c>
    </row>
    <row r="250" customFormat="false" ht="15" hidden="false" customHeight="false" outlineLevel="0" collapsed="false">
      <c r="A250" s="0" t="s">
        <v>77</v>
      </c>
      <c r="B250" s="0" t="s">
        <v>181</v>
      </c>
      <c r="C250" s="0" t="s">
        <v>288</v>
      </c>
      <c r="D250" s="0" t="s">
        <v>522</v>
      </c>
      <c r="E250" s="0" t="n">
        <v>1200</v>
      </c>
      <c r="F250" s="6" t="n">
        <v>0.999166666666667</v>
      </c>
      <c r="G250" s="7" t="n">
        <v>0.842</v>
      </c>
    </row>
    <row r="251" customFormat="false" ht="15" hidden="false" customHeight="false" outlineLevel="0" collapsed="false">
      <c r="A251" s="0" t="s">
        <v>77</v>
      </c>
      <c r="B251" s="0" t="s">
        <v>181</v>
      </c>
      <c r="C251" s="0" t="s">
        <v>290</v>
      </c>
      <c r="D251" s="0" t="s">
        <v>291</v>
      </c>
      <c r="E251" s="0" t="n">
        <v>1200</v>
      </c>
      <c r="F251" s="6" t="n">
        <v>1</v>
      </c>
      <c r="G251" s="7" t="n">
        <v>0.91</v>
      </c>
    </row>
    <row r="252" customFormat="false" ht="15" hidden="false" customHeight="false" outlineLevel="0" collapsed="false">
      <c r="A252" s="0" t="s">
        <v>77</v>
      </c>
      <c r="B252" s="0" t="s">
        <v>181</v>
      </c>
      <c r="C252" s="0" t="s">
        <v>292</v>
      </c>
      <c r="D252" s="0" t="s">
        <v>460</v>
      </c>
      <c r="E252" s="0" t="n">
        <v>1200</v>
      </c>
      <c r="F252" s="6" t="n">
        <v>0.996666666666667</v>
      </c>
      <c r="G252" s="7" t="n">
        <v>0.92</v>
      </c>
    </row>
    <row r="253" customFormat="false" ht="15" hidden="false" customHeight="false" outlineLevel="0" collapsed="false">
      <c r="A253" s="0" t="s">
        <v>77</v>
      </c>
      <c r="B253" s="0" t="s">
        <v>181</v>
      </c>
      <c r="C253" s="0" t="s">
        <v>294</v>
      </c>
      <c r="D253" s="0" t="s">
        <v>523</v>
      </c>
      <c r="E253" s="0" t="n">
        <v>1200</v>
      </c>
      <c r="F253" s="6" t="n">
        <v>0.9975</v>
      </c>
      <c r="G253" s="7" t="n">
        <v>0.925</v>
      </c>
    </row>
    <row r="254" customFormat="false" ht="15" hidden="false" customHeight="false" outlineLevel="0" collapsed="false">
      <c r="A254" s="0" t="s">
        <v>77</v>
      </c>
      <c r="B254" s="0" t="s">
        <v>181</v>
      </c>
      <c r="C254" s="0" t="s">
        <v>296</v>
      </c>
      <c r="D254" s="0" t="s">
        <v>367</v>
      </c>
      <c r="E254" s="0" t="n">
        <v>1200</v>
      </c>
      <c r="F254" s="6" t="n">
        <v>0.999166666666667</v>
      </c>
      <c r="G254" s="7" t="n">
        <v>0.893</v>
      </c>
    </row>
    <row r="255" customFormat="false" ht="15" hidden="false" customHeight="false" outlineLevel="0" collapsed="false">
      <c r="A255" s="0" t="s">
        <v>77</v>
      </c>
      <c r="B255" s="0" t="s">
        <v>181</v>
      </c>
      <c r="C255" s="0" t="s">
        <v>298</v>
      </c>
      <c r="D255" s="0" t="s">
        <v>524</v>
      </c>
      <c r="E255" s="0" t="n">
        <v>1200</v>
      </c>
      <c r="F255" s="6" t="n">
        <v>0.998333333333333</v>
      </c>
      <c r="G255" s="7" t="n">
        <v>0.909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9" min="2" style="0" width="15"/>
  </cols>
  <sheetData>
    <row r="1" customFormat="false" ht="15" hidden="false" customHeight="false" outlineLevel="0" collapsed="false">
      <c r="A1" s="1" t="s">
        <v>525</v>
      </c>
    </row>
    <row r="3" customFormat="false" ht="45" hidden="false" customHeight="true" outlineLevel="0" collapsed="false">
      <c r="A3" s="2" t="s">
        <v>1</v>
      </c>
      <c r="B3" s="2" t="s">
        <v>286</v>
      </c>
      <c r="C3" s="2" t="s">
        <v>288</v>
      </c>
      <c r="D3" s="2" t="s">
        <v>290</v>
      </c>
      <c r="E3" s="2" t="s">
        <v>292</v>
      </c>
      <c r="F3" s="2" t="s">
        <v>294</v>
      </c>
      <c r="G3" s="2" t="s">
        <v>296</v>
      </c>
      <c r="H3" s="2" t="s">
        <v>298</v>
      </c>
      <c r="I3" s="2" t="s">
        <v>526</v>
      </c>
    </row>
    <row r="4" customFormat="false" ht="15" hidden="false" customHeight="false" outlineLevel="0" collapsed="false">
      <c r="A4" s="0" t="s">
        <v>18</v>
      </c>
      <c r="B4" s="6" t="n">
        <v>0.997222222222222</v>
      </c>
      <c r="C4" s="6" t="n">
        <v>0.9975</v>
      </c>
      <c r="D4" s="6" t="n">
        <v>0.997222222222222</v>
      </c>
      <c r="E4" s="6" t="n">
        <v>0.993611111111111</v>
      </c>
      <c r="F4" s="6" t="n">
        <v>0.997777777777778</v>
      </c>
      <c r="G4" s="6" t="n">
        <v>0.998611111111111</v>
      </c>
      <c r="H4" s="6" t="n">
        <v>0.997222222222222</v>
      </c>
      <c r="I4" s="6" t="n">
        <v>0.997916666666667</v>
      </c>
    </row>
    <row r="5" customFormat="false" ht="15" hidden="false" customHeight="false" outlineLevel="0" collapsed="false">
      <c r="A5" s="0" t="s">
        <v>33</v>
      </c>
      <c r="B5" s="6" t="n">
        <v>0.940277777777778</v>
      </c>
      <c r="C5" s="6" t="n">
        <v>0.988888888888889</v>
      </c>
      <c r="D5" s="6" t="n">
        <v>0.986666666666667</v>
      </c>
      <c r="E5" s="6" t="n">
        <v>0.986388888888889</v>
      </c>
      <c r="F5" s="6" t="n">
        <v>0.989444444444445</v>
      </c>
      <c r="G5" s="6" t="n">
        <v>0.983888888888889</v>
      </c>
      <c r="H5" s="6" t="n">
        <v>0.986388888888889</v>
      </c>
      <c r="I5" s="6" t="n">
        <v>0.985138888888889</v>
      </c>
    </row>
    <row r="6" customFormat="false" ht="15" hidden="false" customHeight="false" outlineLevel="0" collapsed="false">
      <c r="A6" s="0" t="s">
        <v>48</v>
      </c>
      <c r="B6" s="6" t="n">
        <v>0.999444444444445</v>
      </c>
      <c r="C6" s="6" t="n">
        <v>0.998888888888889</v>
      </c>
      <c r="D6" s="6" t="n">
        <v>0.999444444444445</v>
      </c>
      <c r="E6" s="6" t="n">
        <v>0.999166666666667</v>
      </c>
      <c r="F6" s="6" t="n">
        <v>0.999444444444445</v>
      </c>
      <c r="G6" s="6" t="n">
        <v>0.998888888888889</v>
      </c>
      <c r="H6" s="6" t="n">
        <v>0.999166666666667</v>
      </c>
      <c r="I6" s="6" t="n">
        <v>0.999027777777778</v>
      </c>
    </row>
    <row r="7" customFormat="false" ht="15" hidden="false" customHeight="false" outlineLevel="0" collapsed="false">
      <c r="A7" s="0" t="s">
        <v>63</v>
      </c>
      <c r="B7" s="6" t="n">
        <v>0.998333333333333</v>
      </c>
      <c r="C7" s="6" t="n">
        <v>0.9975</v>
      </c>
      <c r="D7" s="6" t="n">
        <v>0.9975</v>
      </c>
      <c r="E7" s="6" t="n">
        <v>0.996944444444444</v>
      </c>
      <c r="F7" s="6" t="n">
        <v>0.998055555555556</v>
      </c>
      <c r="G7" s="6" t="n">
        <v>0.996666666666667</v>
      </c>
      <c r="H7" s="6" t="n">
        <v>0.994444444444445</v>
      </c>
      <c r="I7" s="6" t="n">
        <v>0.995555555555556</v>
      </c>
    </row>
    <row r="8" customFormat="false" ht="15" hidden="false" customHeight="false" outlineLevel="0" collapsed="false">
      <c r="A8" s="0" t="s">
        <v>77</v>
      </c>
      <c r="B8" s="6" t="n">
        <v>0.989722222222222</v>
      </c>
      <c r="C8" s="6" t="n">
        <v>0.992777777777778</v>
      </c>
      <c r="D8" s="6" t="n">
        <v>0.999166666666667</v>
      </c>
      <c r="E8" s="6" t="n">
        <v>0.993888888888889</v>
      </c>
      <c r="F8" s="6" t="n">
        <v>0.998055555555556</v>
      </c>
      <c r="G8" s="6" t="n">
        <v>0.998888888888889</v>
      </c>
      <c r="H8" s="6" t="n">
        <v>0.997222222222222</v>
      </c>
      <c r="I8" s="6" t="n">
        <v>0.998055555555556</v>
      </c>
    </row>
    <row r="9" customFormat="false" ht="15" hidden="false" customHeight="false" outlineLevel="0" collapsed="false">
      <c r="A9" s="0" t="s">
        <v>91</v>
      </c>
      <c r="B9" s="6" t="n">
        <v>0.996388888888889</v>
      </c>
      <c r="C9" s="6" t="n">
        <v>0.995555555555556</v>
      </c>
      <c r="D9" s="6" t="n">
        <v>0.996666666666667</v>
      </c>
      <c r="E9" s="6" t="n">
        <v>0.993888888888889</v>
      </c>
      <c r="F9" s="6" t="n">
        <v>0.995555555555556</v>
      </c>
      <c r="G9" s="6" t="n">
        <v>0.994444444444445</v>
      </c>
      <c r="H9" s="6" t="n">
        <v>0.9975</v>
      </c>
      <c r="I9" s="6" t="n">
        <v>0.995972222222222</v>
      </c>
    </row>
    <row r="10" customFormat="false" ht="15" hidden="false" customHeight="false" outlineLevel="0" collapsed="false">
      <c r="A10" s="0" t="s">
        <v>102</v>
      </c>
      <c r="B10" s="6" t="n">
        <v>0.997777777777778</v>
      </c>
      <c r="C10" s="6" t="n">
        <v>0.998333333333333</v>
      </c>
      <c r="D10" s="6" t="n">
        <v>0.9975</v>
      </c>
      <c r="E10" s="6" t="n">
        <v>0.998888888888889</v>
      </c>
      <c r="F10" s="6" t="n">
        <v>0.997777777777778</v>
      </c>
      <c r="G10" s="6" t="n">
        <v>0.998611111111111</v>
      </c>
      <c r="H10" s="6" t="n">
        <v>0.997777777777778</v>
      </c>
      <c r="I10" s="6" t="n">
        <v>0.998194444444445</v>
      </c>
    </row>
    <row r="11" customFormat="false" ht="15" hidden="false" customHeight="false" outlineLevel="0" collapsed="false">
      <c r="A11" s="0" t="s">
        <v>115</v>
      </c>
      <c r="B11" s="6" t="n">
        <v>0.997222222222222</v>
      </c>
      <c r="C11" s="6" t="n">
        <v>0.994722222222222</v>
      </c>
      <c r="D11" s="6" t="n">
        <v>0.996666666666667</v>
      </c>
      <c r="E11" s="6" t="n">
        <v>0.9925</v>
      </c>
      <c r="F11" s="6" t="n">
        <v>0.996666666666667</v>
      </c>
      <c r="G11" s="6" t="n">
        <v>0.996666666666667</v>
      </c>
      <c r="H11" s="6" t="n">
        <v>0.997222222222222</v>
      </c>
      <c r="I11" s="6" t="n">
        <v>0.996944444444444</v>
      </c>
    </row>
    <row r="12" customFormat="false" ht="15" hidden="false" customHeight="false" outlineLevel="0" collapsed="false">
      <c r="A12" s="0" t="s">
        <v>129</v>
      </c>
      <c r="B12" s="6" t="n">
        <v>1</v>
      </c>
      <c r="C12" s="6" t="n">
        <v>0.999444444444445</v>
      </c>
      <c r="D12" s="6" t="n">
        <v>0.999166666666667</v>
      </c>
      <c r="E12" s="6" t="n">
        <v>0.998888888888889</v>
      </c>
      <c r="F12" s="6" t="n">
        <v>0.999722222222222</v>
      </c>
      <c r="G12" s="6" t="n">
        <v>0.999444444444445</v>
      </c>
      <c r="H12" s="6" t="n">
        <v>0.998888888888889</v>
      </c>
      <c r="I12" s="6" t="n">
        <v>0.999166666666667</v>
      </c>
    </row>
    <row r="13" customFormat="false" ht="15" hidden="false" customHeight="false" outlineLevel="0" collapsed="false">
      <c r="A13" s="0" t="s">
        <v>141</v>
      </c>
      <c r="B13" s="6" t="n">
        <v>0.998611111111111</v>
      </c>
      <c r="C13" s="6" t="n">
        <v>0.998333333333333</v>
      </c>
      <c r="D13" s="6" t="n">
        <v>0.998611111111111</v>
      </c>
      <c r="E13" s="6" t="n">
        <v>0.999166666666667</v>
      </c>
      <c r="F13" s="6" t="n">
        <v>0.998611111111111</v>
      </c>
      <c r="G13" s="6" t="n">
        <v>0.998611111111111</v>
      </c>
      <c r="H13" s="6" t="n">
        <v>0.997777777777778</v>
      </c>
      <c r="I13" s="6" t="n">
        <v>0.998194444444445</v>
      </c>
    </row>
    <row r="14" customFormat="false" ht="15" hidden="false" customHeight="false" outlineLevel="0" collapsed="false">
      <c r="A14" s="0" t="s">
        <v>152</v>
      </c>
      <c r="B14" s="6" t="n">
        <v>0.986944444444444</v>
      </c>
      <c r="C14" s="6" t="n">
        <v>0.991388888888889</v>
      </c>
      <c r="D14" s="6" t="n">
        <v>0.987222222222222</v>
      </c>
      <c r="E14" s="6" t="n">
        <v>0.865555555555556</v>
      </c>
      <c r="F14" s="6" t="n">
        <v>0.980555555555556</v>
      </c>
      <c r="G14" s="6" t="n">
        <v>0.990277777777778</v>
      </c>
      <c r="H14" s="6" t="n">
        <v>0.992222222222222</v>
      </c>
      <c r="I14" s="6" t="n">
        <v>0.99125</v>
      </c>
    </row>
    <row r="15" customFormat="false" ht="15" hidden="false" customHeight="false" outlineLevel="0" collapsed="false">
      <c r="A15" s="0" t="s">
        <v>163</v>
      </c>
      <c r="B15" s="6" t="n">
        <v>0.9975</v>
      </c>
      <c r="C15" s="6" t="n">
        <v>0.984722222222222</v>
      </c>
      <c r="D15" s="6" t="n">
        <v>0.998888888888889</v>
      </c>
      <c r="E15" s="6" t="n">
        <v>0.993055555555556</v>
      </c>
      <c r="F15" s="6" t="n">
        <v>0.9975</v>
      </c>
      <c r="G15" s="6" t="n">
        <v>0.995277777777778</v>
      </c>
      <c r="H15" s="6" t="n">
        <v>0.995</v>
      </c>
      <c r="I15" s="6" t="n">
        <v>0.995138888888889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5" min="2" style="0" width="15"/>
  </cols>
  <sheetData>
    <row r="1" customFormat="false" ht="15" hidden="false" customHeight="false" outlineLevel="0" collapsed="false">
      <c r="A1" s="1" t="s">
        <v>527</v>
      </c>
    </row>
    <row r="3" customFormat="false" ht="45" hidden="false" customHeight="true" outlineLevel="0" collapsed="false">
      <c r="A3" s="2" t="s">
        <v>1</v>
      </c>
      <c r="B3" s="2" t="s">
        <v>528</v>
      </c>
      <c r="C3" s="2" t="s">
        <v>529</v>
      </c>
      <c r="D3" s="2" t="s">
        <v>530</v>
      </c>
      <c r="E3" s="2" t="s">
        <v>531</v>
      </c>
      <c r="F3" s="2" t="s">
        <v>532</v>
      </c>
      <c r="G3" s="2" t="s">
        <v>533</v>
      </c>
      <c r="H3" s="2" t="s">
        <v>534</v>
      </c>
      <c r="I3" s="2" t="s">
        <v>535</v>
      </c>
      <c r="J3" s="2" t="s">
        <v>536</v>
      </c>
      <c r="K3" s="2" t="s">
        <v>537</v>
      </c>
      <c r="L3" s="2" t="s">
        <v>538</v>
      </c>
      <c r="M3" s="2" t="s">
        <v>539</v>
      </c>
      <c r="N3" s="2" t="s">
        <v>540</v>
      </c>
      <c r="O3" s="2" t="s">
        <v>526</v>
      </c>
    </row>
    <row r="4" customFormat="false" ht="15" hidden="false" customHeight="false" outlineLevel="0" collapsed="false">
      <c r="A4" s="0" t="s">
        <v>18</v>
      </c>
      <c r="B4" s="6" t="n">
        <v>0.916666666666667</v>
      </c>
      <c r="C4" s="6" t="n">
        <v>0.958333333333333</v>
      </c>
      <c r="D4" s="6" t="n">
        <v>0.916666666666667</v>
      </c>
      <c r="E4" s="6" t="n">
        <v>0.875</v>
      </c>
      <c r="F4" s="6" t="n">
        <v>0.583333333333333</v>
      </c>
      <c r="G4" s="6" t="n">
        <v>0.875</v>
      </c>
      <c r="H4" s="6" t="n">
        <v>0.875</v>
      </c>
      <c r="I4" s="6" t="n">
        <v>0.958333333333333</v>
      </c>
      <c r="J4" s="6" t="n">
        <v>0.875</v>
      </c>
      <c r="K4" s="6" t="n">
        <v>0.75</v>
      </c>
      <c r="L4" s="6" t="n">
        <v>0.916666666666667</v>
      </c>
      <c r="M4" s="6" t="n">
        <v>0.916666666666667</v>
      </c>
      <c r="N4" s="6" t="n">
        <v>0.916666666666667</v>
      </c>
      <c r="O4" s="6" t="n">
        <v>0.916666666666667</v>
      </c>
    </row>
    <row r="5" customFormat="false" ht="15" hidden="false" customHeight="false" outlineLevel="0" collapsed="false">
      <c r="A5" s="0" t="s">
        <v>33</v>
      </c>
      <c r="D5" s="6" t="n">
        <v>0.458333333333333</v>
      </c>
      <c r="E5" s="6" t="n">
        <v>0.291666666666667</v>
      </c>
      <c r="F5" s="6" t="n">
        <v>0.375</v>
      </c>
      <c r="G5" s="6" t="n">
        <v>0.625</v>
      </c>
      <c r="H5" s="6" t="n">
        <v>0.5</v>
      </c>
      <c r="I5" s="6" t="n">
        <v>0.375</v>
      </c>
      <c r="J5" s="6" t="n">
        <v>0.375</v>
      </c>
      <c r="K5" s="6" t="n">
        <v>0.583333333333333</v>
      </c>
      <c r="L5" s="6" t="n">
        <v>0.625</v>
      </c>
      <c r="M5" s="6" t="n">
        <v>0.416666666666667</v>
      </c>
      <c r="N5" s="6" t="n">
        <v>0.583333333333333</v>
      </c>
      <c r="O5" s="6" t="n">
        <v>0.5</v>
      </c>
    </row>
    <row r="6" customFormat="false" ht="15" hidden="false" customHeight="false" outlineLevel="0" collapsed="false">
      <c r="A6" s="0" t="s">
        <v>48</v>
      </c>
      <c r="B6" s="6" t="n">
        <v>0.75</v>
      </c>
      <c r="C6" s="6" t="n">
        <v>0.958333333333333</v>
      </c>
      <c r="D6" s="6" t="n">
        <v>0.791666666666667</v>
      </c>
      <c r="E6" s="6" t="n">
        <v>0.75</v>
      </c>
      <c r="F6" s="6" t="n">
        <v>0.791666666666667</v>
      </c>
      <c r="G6" s="6" t="n">
        <v>0.833333333333333</v>
      </c>
      <c r="H6" s="6" t="n">
        <v>0.875</v>
      </c>
      <c r="I6" s="6" t="n">
        <v>0.833333333333333</v>
      </c>
      <c r="J6" s="6" t="n">
        <v>0.875</v>
      </c>
      <c r="K6" s="6" t="n">
        <v>0.708333333333333</v>
      </c>
      <c r="L6" s="6" t="n">
        <v>0.833333333333333</v>
      </c>
      <c r="M6" s="6" t="n">
        <v>0.708333333333333</v>
      </c>
      <c r="N6" s="6" t="n">
        <v>0.791666666666667</v>
      </c>
      <c r="O6" s="6" t="n">
        <v>0.75</v>
      </c>
    </row>
    <row r="7" customFormat="false" ht="15" hidden="false" customHeight="false" outlineLevel="0" collapsed="false">
      <c r="A7" s="0" t="s">
        <v>63</v>
      </c>
      <c r="B7" s="6" t="n">
        <v>0.5</v>
      </c>
      <c r="C7" s="6" t="n">
        <v>0.833333333333333</v>
      </c>
      <c r="D7" s="6" t="n">
        <v>0.75</v>
      </c>
      <c r="E7" s="6" t="n">
        <v>0.75</v>
      </c>
      <c r="F7" s="6" t="n">
        <v>0.625</v>
      </c>
      <c r="G7" s="6" t="n">
        <v>0.583333333333333</v>
      </c>
      <c r="H7" s="6" t="n">
        <v>0.666666666666667</v>
      </c>
      <c r="I7" s="6" t="n">
        <v>0.541666666666667</v>
      </c>
      <c r="J7" s="6" t="n">
        <v>0.75</v>
      </c>
      <c r="K7" s="6" t="n">
        <v>0.708333333333333</v>
      </c>
      <c r="L7" s="6" t="n">
        <v>0.833333333333333</v>
      </c>
      <c r="M7" s="6" t="n">
        <v>0.833333333333333</v>
      </c>
      <c r="N7" s="6" t="n">
        <v>0.75</v>
      </c>
      <c r="O7" s="6" t="n">
        <v>0.791666666666667</v>
      </c>
    </row>
    <row r="8" customFormat="false" ht="15" hidden="false" customHeight="false" outlineLevel="0" collapsed="false">
      <c r="A8" s="0" t="s">
        <v>77</v>
      </c>
      <c r="B8" s="6" t="n">
        <v>0.708333333333333</v>
      </c>
      <c r="C8" s="6" t="n">
        <v>0.833333333333333</v>
      </c>
      <c r="D8" s="6" t="n">
        <v>0.75</v>
      </c>
      <c r="E8" s="6" t="n">
        <v>0.75</v>
      </c>
      <c r="F8" s="6" t="n">
        <v>0.833333333333333</v>
      </c>
      <c r="G8" s="6" t="n">
        <v>0.833333333333333</v>
      </c>
      <c r="H8" s="6" t="n">
        <v>0.833333333333333</v>
      </c>
      <c r="I8" s="6" t="n">
        <v>0.791666666666667</v>
      </c>
      <c r="J8" s="6" t="n">
        <v>0.791666666666667</v>
      </c>
      <c r="K8" s="6" t="n">
        <v>0.833333333333333</v>
      </c>
      <c r="L8" s="6" t="n">
        <v>0.791666666666667</v>
      </c>
      <c r="M8" s="6" t="n">
        <v>0.75</v>
      </c>
      <c r="N8" s="6" t="n">
        <v>0.541666666666667</v>
      </c>
      <c r="O8" s="6" t="n">
        <v>0.645833333333333</v>
      </c>
    </row>
    <row r="9" customFormat="false" ht="15" hidden="false" customHeight="false" outlineLevel="0" collapsed="false">
      <c r="A9" s="0" t="s">
        <v>91</v>
      </c>
      <c r="B9" s="6" t="n">
        <v>0.583333333333333</v>
      </c>
      <c r="C9" s="6" t="n">
        <v>0.458333333333333</v>
      </c>
      <c r="D9" s="6" t="n">
        <v>0.583333333333333</v>
      </c>
      <c r="E9" s="6" t="n">
        <v>0.541666666666667</v>
      </c>
      <c r="F9" s="6" t="n">
        <v>0.583333333333333</v>
      </c>
      <c r="G9" s="6" t="n">
        <v>0.708333333333333</v>
      </c>
      <c r="H9" s="6" t="n">
        <v>0.583333333333333</v>
      </c>
      <c r="I9" s="6" t="n">
        <v>0.708333333333333</v>
      </c>
      <c r="J9" s="6" t="n">
        <v>0.625</v>
      </c>
      <c r="K9" s="6" t="n">
        <v>0.666666666666667</v>
      </c>
      <c r="L9" s="6" t="n">
        <v>0.666666666666667</v>
      </c>
      <c r="M9" s="6" t="n">
        <v>0.666666666666667</v>
      </c>
      <c r="N9" s="6" t="n">
        <v>0.583333333333333</v>
      </c>
      <c r="O9" s="6" t="n">
        <v>0.625</v>
      </c>
    </row>
    <row r="10" customFormat="false" ht="15" hidden="false" customHeight="false" outlineLevel="0" collapsed="false">
      <c r="A10" s="0" t="s">
        <v>102</v>
      </c>
      <c r="B10" s="6" t="n">
        <v>0.708333333333333</v>
      </c>
      <c r="C10" s="6" t="n">
        <v>0.791666666666667</v>
      </c>
      <c r="D10" s="6" t="n">
        <v>0.625</v>
      </c>
      <c r="E10" s="6" t="n">
        <v>0.666666666666667</v>
      </c>
      <c r="F10" s="6" t="n">
        <v>0.625</v>
      </c>
      <c r="G10" s="6" t="n">
        <v>0.708333333333333</v>
      </c>
      <c r="H10" s="6" t="n">
        <v>0.791666666666667</v>
      </c>
      <c r="I10" s="6" t="n">
        <v>0.666666666666667</v>
      </c>
      <c r="J10" s="6" t="n">
        <v>0.791666666666667</v>
      </c>
      <c r="K10" s="6" t="n">
        <v>0.75</v>
      </c>
      <c r="L10" s="6" t="n">
        <v>0.708333333333333</v>
      </c>
      <c r="M10" s="6" t="n">
        <v>0.75</v>
      </c>
      <c r="N10" s="6" t="n">
        <v>0.541666666666667</v>
      </c>
      <c r="O10" s="6" t="n">
        <v>0.645833333333333</v>
      </c>
    </row>
    <row r="11" customFormat="false" ht="15" hidden="false" customHeight="false" outlineLevel="0" collapsed="false">
      <c r="A11" s="0" t="s">
        <v>115</v>
      </c>
      <c r="B11" s="6" t="n">
        <v>0.541666666666667</v>
      </c>
      <c r="C11" s="6" t="n">
        <v>0.791666666666667</v>
      </c>
      <c r="D11" s="6" t="n">
        <v>0.666666666666667</v>
      </c>
      <c r="E11" s="6" t="n">
        <v>0.791666666666667</v>
      </c>
      <c r="F11" s="6" t="n">
        <v>0.833333333333333</v>
      </c>
      <c r="G11" s="6" t="n">
        <v>0.75</v>
      </c>
      <c r="H11" s="6" t="n">
        <v>0.833333333333333</v>
      </c>
      <c r="I11" s="6" t="n">
        <v>0.875</v>
      </c>
      <c r="J11" s="6" t="n">
        <v>0.875</v>
      </c>
      <c r="K11" s="6" t="n">
        <v>0.833333333333333</v>
      </c>
      <c r="L11" s="6" t="n">
        <v>0.833333333333333</v>
      </c>
      <c r="M11" s="6" t="n">
        <v>0.875</v>
      </c>
      <c r="N11" s="6" t="n">
        <v>0.791666666666667</v>
      </c>
      <c r="O11" s="6" t="n">
        <v>0.833333333333333</v>
      </c>
    </row>
    <row r="12" customFormat="false" ht="15" hidden="false" customHeight="false" outlineLevel="0" collapsed="false">
      <c r="A12" s="0" t="s">
        <v>129</v>
      </c>
      <c r="B12" s="6" t="n">
        <v>0.791666666666667</v>
      </c>
      <c r="C12" s="6" t="n">
        <v>0.958333333333333</v>
      </c>
      <c r="D12" s="6" t="n">
        <v>0.75</v>
      </c>
      <c r="E12" s="6" t="n">
        <v>0.791666666666667</v>
      </c>
      <c r="F12" s="6" t="n">
        <v>0.791666666666667</v>
      </c>
      <c r="G12" s="6" t="n">
        <v>0.833333333333333</v>
      </c>
      <c r="H12" s="6" t="n">
        <v>0.958333333333333</v>
      </c>
      <c r="I12" s="6" t="n">
        <v>0.833333333333333</v>
      </c>
      <c r="J12" s="6" t="n">
        <v>0.916666666666667</v>
      </c>
      <c r="K12" s="6" t="n">
        <v>0.75</v>
      </c>
      <c r="L12" s="6" t="n">
        <v>0.791666666666667</v>
      </c>
      <c r="M12" s="6" t="n">
        <v>0.791666666666667</v>
      </c>
      <c r="N12" s="6" t="n">
        <v>0.791666666666667</v>
      </c>
      <c r="O12" s="6" t="n">
        <v>0.791666666666667</v>
      </c>
    </row>
    <row r="13" customFormat="false" ht="15" hidden="false" customHeight="false" outlineLevel="0" collapsed="false">
      <c r="A13" s="0" t="s">
        <v>141</v>
      </c>
      <c r="B13" s="6" t="n">
        <v>0.833333333333333</v>
      </c>
      <c r="C13" s="6" t="n">
        <v>0.791666666666667</v>
      </c>
      <c r="D13" s="6" t="n">
        <v>0.958333333333333</v>
      </c>
      <c r="E13" s="6" t="n">
        <v>0.75</v>
      </c>
      <c r="F13" s="6" t="n">
        <v>0.791666666666667</v>
      </c>
      <c r="G13" s="6" t="n">
        <v>0.75</v>
      </c>
      <c r="H13" s="6" t="n">
        <v>0.625</v>
      </c>
      <c r="I13" s="6" t="n">
        <v>0.833333333333333</v>
      </c>
      <c r="J13" s="6" t="n">
        <v>0.791666666666667</v>
      </c>
      <c r="K13" s="6" t="n">
        <v>0.708333333333333</v>
      </c>
      <c r="L13" s="6" t="n">
        <v>0.833333333333333</v>
      </c>
      <c r="M13" s="6" t="n">
        <v>0.875</v>
      </c>
      <c r="N13" s="6" t="n">
        <v>0.916666666666667</v>
      </c>
      <c r="O13" s="6" t="n">
        <v>0.895833333333333</v>
      </c>
    </row>
    <row r="14" customFormat="false" ht="15" hidden="false" customHeight="false" outlineLevel="0" collapsed="false">
      <c r="A14" s="0" t="s">
        <v>152</v>
      </c>
      <c r="B14" s="6" t="n">
        <v>0.791666666666667</v>
      </c>
      <c r="C14" s="6" t="n">
        <v>0.916666666666667</v>
      </c>
      <c r="D14" s="6" t="n">
        <v>0.875</v>
      </c>
      <c r="E14" s="6" t="n">
        <v>0.875</v>
      </c>
      <c r="F14" s="6" t="n">
        <v>0.958333333333333</v>
      </c>
      <c r="G14" s="6" t="n">
        <v>0.75</v>
      </c>
      <c r="H14" s="6" t="n">
        <v>0.458333333333333</v>
      </c>
      <c r="I14" s="6" t="n">
        <v>0.75</v>
      </c>
      <c r="J14" s="6" t="n">
        <v>0.958333333333333</v>
      </c>
      <c r="K14" s="6" t="n">
        <v>0.791666666666667</v>
      </c>
      <c r="L14" s="6" t="n">
        <v>0.708333333333333</v>
      </c>
      <c r="M14" s="6" t="n">
        <v>0.875</v>
      </c>
      <c r="N14" s="6" t="n">
        <v>0.75</v>
      </c>
      <c r="O14" s="6" t="n">
        <v>0.8125</v>
      </c>
    </row>
    <row r="15" customFormat="false" ht="15" hidden="false" customHeight="false" outlineLevel="0" collapsed="false">
      <c r="A15" s="0" t="s">
        <v>163</v>
      </c>
      <c r="B15" s="6" t="n">
        <v>0.708333333333333</v>
      </c>
      <c r="C15" s="6" t="n">
        <v>0.916666666666667</v>
      </c>
      <c r="D15" s="6" t="n">
        <v>0.958333333333333</v>
      </c>
      <c r="E15" s="6" t="n">
        <v>0.833333333333333</v>
      </c>
      <c r="F15" s="6" t="n">
        <v>0.958333333333333</v>
      </c>
      <c r="G15" s="6" t="n">
        <v>0.791666666666667</v>
      </c>
      <c r="H15" s="6" t="n">
        <v>0.333333333333333</v>
      </c>
      <c r="I15" s="6" t="n">
        <v>0.833333333333333</v>
      </c>
      <c r="J15" s="6" t="n">
        <v>0.75</v>
      </c>
      <c r="K15" s="6" t="n">
        <v>0.791666666666667</v>
      </c>
      <c r="L15" s="6" t="n">
        <v>0.875</v>
      </c>
      <c r="M15" s="6" t="n">
        <v>0.833333333333333</v>
      </c>
      <c r="N15" s="6" t="n">
        <v>0.875</v>
      </c>
      <c r="O15" s="6" t="n">
        <v>0.854166666666667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0"/>
  </cols>
  <sheetData>
    <row r="1" customFormat="false" ht="16.15" hidden="false" customHeight="false" outlineLevel="0" collapsed="false">
      <c r="A1" s="11" t="s">
        <v>541</v>
      </c>
    </row>
    <row r="2" customFormat="false" ht="15" hidden="false" customHeight="false" outlineLevel="0" collapsed="false">
      <c r="A2" s="4"/>
    </row>
    <row r="3" customFormat="false" ht="15" hidden="false" customHeight="false" outlineLevel="0" collapsed="false">
      <c r="A3" s="4" t="s">
        <v>542</v>
      </c>
    </row>
    <row r="4" customFormat="false" ht="15" hidden="false" customHeight="false" outlineLevel="0" collapsed="false">
      <c r="A4" s="4" t="s">
        <v>543</v>
      </c>
    </row>
    <row r="5" customFormat="false" ht="15" hidden="false" customHeight="false" outlineLevel="0" collapsed="false">
      <c r="A5" s="4" t="s">
        <v>544</v>
      </c>
    </row>
    <row r="6" customFormat="false" ht="15" hidden="false" customHeight="false" outlineLevel="0" collapsed="false">
      <c r="A6" s="4" t="s">
        <v>545</v>
      </c>
    </row>
    <row r="7" customFormat="false" ht="15" hidden="false" customHeight="false" outlineLevel="0" collapsed="false">
      <c r="A7" s="4" t="s">
        <v>546</v>
      </c>
    </row>
    <row r="8" customFormat="false" ht="15" hidden="false" customHeight="false" outlineLevel="0" collapsed="false">
      <c r="A8" s="4" t="s">
        <v>547</v>
      </c>
    </row>
    <row r="9" customFormat="false" ht="28.35" hidden="false" customHeight="false" outlineLevel="0" collapsed="false">
      <c r="A9" s="4" t="s">
        <v>548</v>
      </c>
    </row>
    <row r="10" customFormat="false" ht="15" hidden="false" customHeight="false" outlineLevel="0" collapsed="false">
      <c r="A10" s="4" t="s">
        <v>549</v>
      </c>
    </row>
    <row r="11" customFormat="false" ht="15" hidden="false" customHeight="false" outlineLevel="0" collapsed="false">
      <c r="A11" s="4" t="s">
        <v>550</v>
      </c>
    </row>
    <row r="12" customFormat="false" ht="15" hidden="false" customHeight="false" outlineLevel="0" collapsed="false">
      <c r="A12" s="4" t="s">
        <v>551</v>
      </c>
    </row>
    <row r="13" customFormat="false" ht="15" hidden="false" customHeight="false" outlineLevel="0" collapsed="false">
      <c r="A13" s="4" t="s">
        <v>552</v>
      </c>
    </row>
    <row r="14" customFormat="false" ht="15" hidden="false" customHeight="false" outlineLevel="0" collapsed="false">
      <c r="A14" s="4" t="s">
        <v>553</v>
      </c>
    </row>
    <row r="15" customFormat="false" ht="15" hidden="false" customHeight="false" outlineLevel="0" collapsed="false">
      <c r="A15" s="4" t="s">
        <v>554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2026-10-09T08:16:49Z</dcterms:created>
  <dc:creator>openpyxl</dc:creator>
  <dc:description/>
  <dc:language>en-US</dc:language>
  <cp:lastModifiedBy/>
  <dcterms:modified xsi:type="dcterms:W3CDTF">2026-10-09T08:17:19Z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